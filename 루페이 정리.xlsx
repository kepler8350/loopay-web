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G:\39 루페이\"/>
    </mc:Choice>
  </mc:AlternateContent>
  <xr:revisionPtr revIDLastSave="0" documentId="13_ncr:1_{D69A569D-5DAB-47D6-8919-0C4F2E6C632F}" xr6:coauthVersionLast="47" xr6:coauthVersionMax="47" xr10:uidLastSave="{00000000-0000-0000-0000-000000000000}"/>
  <bookViews>
    <workbookView xWindow="7965" yWindow="75" windowWidth="24015" windowHeight="15090" tabRatio="845" activeTab="1" xr2:uid="{00000000-000D-0000-FFFF-FFFF00000000}"/>
  </bookViews>
  <sheets>
    <sheet name="Sheet1" sheetId="4" r:id="rId1"/>
    <sheet name="레벨 예약 단계 수량(수정)" sheetId="1" r:id="rId2"/>
    <sheet name="루페이 시간표" sheetId="3" r:id="rId3"/>
    <sheet name="분할 및 교환 포인드" sheetId="5" r:id="rId4"/>
    <sheet name="패널티" sheetId="6" r:id="rId5"/>
    <sheet name="포인트 사용 설명" sheetId="7" r:id="rId6"/>
    <sheet name="결합판매" sheetId="8" r:id="rId7"/>
    <sheet name="관리자 모드" sheetId="9" r:id="rId8"/>
    <sheet name="매칭 " sheetId="10"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7" i="10" l="1"/>
  <c r="E41" i="10"/>
  <c r="J8" i="10"/>
  <c r="G8" i="10"/>
  <c r="L8" i="10" s="1"/>
  <c r="M8" i="10" s="1"/>
  <c r="D8" i="10"/>
  <c r="J7" i="10"/>
  <c r="G7" i="10"/>
  <c r="L7" i="10" s="1"/>
  <c r="M7" i="10" s="1"/>
  <c r="D7" i="10"/>
  <c r="L6" i="10"/>
  <c r="M6" i="10" s="1"/>
  <c r="J6" i="10"/>
  <c r="G6" i="10"/>
  <c r="D6" i="10"/>
  <c r="D46" i="9"/>
  <c r="B45" i="9"/>
  <c r="B44" i="9"/>
  <c r="B43" i="9"/>
  <c r="H42" i="9"/>
  <c r="B42" i="9"/>
  <c r="F41" i="9"/>
  <c r="B41" i="9"/>
  <c r="L40" i="9"/>
  <c r="F40" i="9"/>
  <c r="B40" i="9"/>
  <c r="J39" i="9"/>
  <c r="F39" i="9"/>
  <c r="B39" i="9"/>
  <c r="J38" i="9"/>
  <c r="F38" i="9"/>
  <c r="B38" i="9"/>
  <c r="J37" i="9"/>
  <c r="F37" i="9"/>
  <c r="B37" i="9"/>
  <c r="J36" i="9"/>
  <c r="F36" i="9"/>
  <c r="B36" i="9"/>
  <c r="J35" i="9"/>
  <c r="F35" i="9"/>
  <c r="B35" i="9"/>
  <c r="J34" i="9"/>
  <c r="F34" i="9"/>
  <c r="B34" i="9"/>
  <c r="J33" i="9"/>
  <c r="F33" i="9"/>
  <c r="B33" i="9"/>
  <c r="J32" i="9"/>
  <c r="F32" i="9"/>
  <c r="B32" i="9"/>
  <c r="J31" i="9"/>
  <c r="F31" i="9"/>
  <c r="B31" i="9"/>
  <c r="J30" i="9"/>
  <c r="F30" i="9"/>
  <c r="B30" i="9"/>
  <c r="J29" i="9"/>
  <c r="F29" i="9"/>
  <c r="B29" i="9"/>
  <c r="J28" i="9"/>
  <c r="F28" i="9"/>
  <c r="B28" i="9"/>
  <c r="J27" i="9"/>
  <c r="F27" i="9"/>
  <c r="B27" i="9"/>
  <c r="J26" i="9"/>
  <c r="F26" i="9"/>
  <c r="B26" i="9"/>
  <c r="J12" i="9"/>
  <c r="G12" i="9"/>
  <c r="L12" i="9" s="1"/>
  <c r="M12" i="9" s="1"/>
  <c r="D12" i="9"/>
  <c r="L11" i="9"/>
  <c r="M11" i="9" s="1"/>
  <c r="J11" i="9"/>
  <c r="G11" i="9"/>
  <c r="D11" i="9"/>
  <c r="J10" i="9"/>
  <c r="G10" i="9"/>
  <c r="L10" i="9" s="1"/>
  <c r="M10" i="9" s="1"/>
  <c r="D10" i="9"/>
  <c r="F7" i="9"/>
  <c r="G7" i="9" s="1"/>
  <c r="F6" i="9"/>
  <c r="G6" i="9" s="1"/>
  <c r="G5" i="9"/>
  <c r="F5" i="9"/>
  <c r="E5" i="9"/>
  <c r="I39" i="8" l="1"/>
  <c r="I32" i="8"/>
  <c r="H35" i="8" s="1"/>
  <c r="J30" i="8"/>
  <c r="J32" i="8" s="1"/>
  <c r="I35" i="8" s="1"/>
  <c r="J35" i="8" s="1"/>
  <c r="I30" i="8"/>
  <c r="J28" i="8"/>
  <c r="I28" i="8"/>
  <c r="K28" i="8" s="1"/>
  <c r="I12" i="8"/>
  <c r="I15" i="8" s="1"/>
  <c r="J15" i="8" s="1"/>
  <c r="I11" i="8"/>
  <c r="J11" i="8" s="1"/>
  <c r="J8" i="8"/>
  <c r="J6" i="8"/>
  <c r="K6" i="8" s="1"/>
  <c r="I6" i="8"/>
  <c r="J4" i="8"/>
  <c r="I4" i="8"/>
  <c r="I8" i="8" s="1"/>
  <c r="H15" i="8" s="1"/>
  <c r="D4" i="8"/>
  <c r="D2" i="8"/>
  <c r="H39" i="8" l="1"/>
  <c r="J36" i="8"/>
  <c r="J39" i="8"/>
  <c r="K30" i="8"/>
  <c r="K32" i="8" s="1"/>
  <c r="J12" i="8"/>
  <c r="K4" i="8"/>
  <c r="K8" i="8" s="1"/>
  <c r="C10" i="5" l="1"/>
  <c r="H10" i="5"/>
  <c r="M10" i="5"/>
  <c r="E13" i="5"/>
  <c r="J13" i="5"/>
  <c r="O13" i="5"/>
  <c r="C18" i="5"/>
  <c r="D18" i="5"/>
  <c r="H18" i="5"/>
  <c r="I18" i="5"/>
  <c r="M18" i="5"/>
  <c r="N18" i="5"/>
  <c r="B49" i="1" l="1"/>
  <c r="D49" i="1" s="1"/>
  <c r="B48" i="1"/>
  <c r="D48" i="1" s="1"/>
  <c r="B47" i="1"/>
  <c r="D47" i="1" s="1"/>
  <c r="B46" i="1"/>
  <c r="D46" i="1" s="1"/>
  <c r="I45" i="1"/>
  <c r="G45" i="1"/>
  <c r="D45" i="1"/>
  <c r="B45" i="1"/>
  <c r="I44" i="1"/>
  <c r="G44" i="1"/>
  <c r="D44" i="1"/>
  <c r="B44" i="1"/>
  <c r="L43" i="1"/>
  <c r="N43" i="1" s="1"/>
  <c r="G43" i="1"/>
  <c r="I43" i="1" s="1"/>
  <c r="D43" i="1"/>
  <c r="B43" i="1"/>
  <c r="N42" i="1"/>
  <c r="L42" i="1"/>
  <c r="I42" i="1"/>
  <c r="G42" i="1"/>
  <c r="D42" i="1"/>
  <c r="B42" i="1"/>
  <c r="L41" i="1"/>
  <c r="N41" i="1" s="1"/>
  <c r="G41" i="1"/>
  <c r="I41" i="1" s="1"/>
  <c r="D41" i="1"/>
  <c r="B41" i="1"/>
  <c r="N40" i="1"/>
  <c r="L40" i="1"/>
  <c r="I40" i="1"/>
  <c r="G40" i="1"/>
  <c r="D40" i="1"/>
  <c r="B40" i="1"/>
  <c r="L39" i="1"/>
  <c r="N39" i="1" s="1"/>
  <c r="G39" i="1"/>
  <c r="I39" i="1" s="1"/>
  <c r="D39" i="1"/>
  <c r="B39" i="1"/>
  <c r="N38" i="1"/>
  <c r="L38" i="1"/>
  <c r="I38" i="1"/>
  <c r="G38" i="1"/>
  <c r="D38" i="1"/>
  <c r="B38" i="1"/>
  <c r="L37" i="1"/>
  <c r="N37" i="1" s="1"/>
  <c r="G37" i="1"/>
  <c r="I37" i="1" s="1"/>
  <c r="D37" i="1"/>
  <c r="B37" i="1"/>
  <c r="N36" i="1"/>
  <c r="L36" i="1"/>
  <c r="I36" i="1"/>
  <c r="G36" i="1"/>
  <c r="D36" i="1"/>
  <c r="B36" i="1"/>
  <c r="L35" i="1"/>
  <c r="N35" i="1" s="1"/>
  <c r="G35" i="1"/>
  <c r="I35" i="1" s="1"/>
  <c r="D35" i="1"/>
  <c r="B35" i="1"/>
  <c r="N34" i="1"/>
  <c r="L34" i="1"/>
  <c r="I34" i="1"/>
  <c r="G34" i="1"/>
  <c r="D34" i="1"/>
  <c r="B34" i="1"/>
  <c r="L33" i="1"/>
  <c r="N33" i="1" s="1"/>
  <c r="G33" i="1"/>
  <c r="I33" i="1" s="1"/>
  <c r="D33" i="1"/>
  <c r="B33" i="1"/>
  <c r="N32" i="1"/>
  <c r="L32" i="1"/>
  <c r="I32" i="1"/>
  <c r="G32" i="1"/>
  <c r="D32" i="1"/>
  <c r="B32" i="1"/>
  <c r="L31" i="1"/>
  <c r="N31" i="1" s="1"/>
  <c r="G31" i="1"/>
  <c r="I31" i="1" s="1"/>
  <c r="D31" i="1"/>
  <c r="B31" i="1"/>
  <c r="N30" i="1"/>
  <c r="L30" i="1"/>
  <c r="I30" i="1"/>
  <c r="G30" i="1"/>
  <c r="D30" i="1"/>
  <c r="B30" i="1"/>
  <c r="N29" i="1"/>
  <c r="I29" i="1"/>
  <c r="D29" i="1"/>
</calcChain>
</file>

<file path=xl/sharedStrings.xml><?xml version="1.0" encoding="utf-8"?>
<sst xmlns="http://schemas.openxmlformats.org/spreadsheetml/2006/main" count="369" uniqueCount="223">
  <si>
    <t>레벨 예약 단계 수량</t>
    <phoneticPr fontId="1" type="noConversion"/>
  </si>
  <si>
    <t>레벨 단계</t>
    <phoneticPr fontId="1" type="noConversion"/>
  </si>
  <si>
    <t>1레벨</t>
    <phoneticPr fontId="1" type="noConversion"/>
  </si>
  <si>
    <t>2레벨</t>
  </si>
  <si>
    <t>3레벨</t>
  </si>
  <si>
    <t>4레벨</t>
  </si>
  <si>
    <t>5레벨</t>
  </si>
  <si>
    <t>6레벨</t>
  </si>
  <si>
    <t>7레벨</t>
  </si>
  <si>
    <t>최소</t>
    <phoneticPr fontId="1" type="noConversion"/>
  </si>
  <si>
    <t>최대</t>
    <phoneticPr fontId="1" type="noConversion"/>
  </si>
  <si>
    <t>8레벨</t>
  </si>
  <si>
    <t>9레벨</t>
  </si>
  <si>
    <t>10레벨</t>
  </si>
  <si>
    <t>각 레벨별 최소, 최대 예약수량임</t>
    <phoneticPr fontId="1" type="noConversion"/>
  </si>
  <si>
    <t>예약 누적 횟수</t>
    <phoneticPr fontId="1" type="noConversion"/>
  </si>
  <si>
    <t>1레벨 누적횟수</t>
    <phoneticPr fontId="1" type="noConversion"/>
  </si>
  <si>
    <t>2레벨 누적횟수</t>
  </si>
  <si>
    <t>3레벨 누적횟수</t>
  </si>
  <si>
    <t>4레벨 누적횟수</t>
  </si>
  <si>
    <t>5레벨 누적횟수</t>
  </si>
  <si>
    <t>6레벨 누적횟수</t>
  </si>
  <si>
    <t>7레벨 누적횟수</t>
  </si>
  <si>
    <t>8레벨 누적횟수</t>
  </si>
  <si>
    <t>9레벨 누적횟수</t>
  </si>
  <si>
    <t>예약 누적 횟수가 기준이상이 되어야 다음 레벨로 올라간다</t>
    <phoneticPr fontId="1" type="noConversion"/>
  </si>
  <si>
    <t>매칭을 하면 포인트가 차감이되는데 한번 매칭에 성공하면 40 포인트가 차감이 된다</t>
    <phoneticPr fontId="1" type="noConversion"/>
  </si>
  <si>
    <t xml:space="preserve">예약가능수량이 있어도 현재 포인트가 부족하면 예약가능수량 만큼 예약이 안된다. </t>
    <phoneticPr fontId="1" type="noConversion"/>
  </si>
  <si>
    <t>구매</t>
  </si>
  <si>
    <t>판매</t>
  </si>
  <si>
    <t>차액금</t>
    <phoneticPr fontId="1" type="noConversion"/>
  </si>
  <si>
    <t>1단계를 구매한 사람은 4일뒤 판매를 할 수 있고 2단계 가격으로 판매할 수 있다</t>
    <phoneticPr fontId="1" type="noConversion"/>
  </si>
  <si>
    <t>구매한 날 부터 3일째 되는날 예약이 가능하다</t>
    <phoneticPr fontId="1" type="noConversion"/>
  </si>
  <si>
    <t>구매자
의
의무</t>
    <phoneticPr fontId="1" type="noConversion"/>
  </si>
  <si>
    <t>판매자의
의무</t>
    <phoneticPr fontId="1" type="noConversion"/>
  </si>
  <si>
    <t>현재 예약수량</t>
    <phoneticPr fontId="1" type="noConversion"/>
  </si>
  <si>
    <t>날짜별 예약가능수량</t>
    <phoneticPr fontId="1" type="noConversion"/>
  </si>
  <si>
    <t>매칭 일정</t>
    <phoneticPr fontId="1" type="noConversion"/>
  </si>
  <si>
    <t>예약누적횟수</t>
    <phoneticPr fontId="1" type="noConversion"/>
  </si>
  <si>
    <t>루페이 전체 운영시간은 로페이 시간표를 따른다</t>
    <phoneticPr fontId="1" type="noConversion"/>
  </si>
  <si>
    <t>루페이 앱에 표시될 내용은</t>
    <phoneticPr fontId="1" type="noConversion"/>
  </si>
  <si>
    <t>루페이(LOOPAY) 가격표</t>
    <phoneticPr fontId="1" type="noConversion"/>
  </si>
  <si>
    <t>총포인트= 충전포인트+ 전환포인트</t>
    <phoneticPr fontId="1" type="noConversion"/>
  </si>
  <si>
    <t>충전포인트는 구매 포인트 이며, 전환포인트는 아이템을 포인트로 전환한 포인트이다</t>
    <phoneticPr fontId="1" type="noConversion"/>
  </si>
  <si>
    <t>루페이 시간표 및 의무</t>
    <phoneticPr fontId="1" type="noConversion"/>
  </si>
  <si>
    <t>1. 루페이 사용자환경</t>
    <phoneticPr fontId="1" type="noConversion"/>
  </si>
  <si>
    <t>사용자는 앱, 웹, 모바일웹으로 사용이 가능</t>
    <phoneticPr fontId="1" type="noConversion"/>
  </si>
  <si>
    <t>사용자 환경으로 실행하면 처음에 회원가입이 나오는데 회원가입은 카카오톡으로 간편가입을 해야한다</t>
    <phoneticPr fontId="1" type="noConversion"/>
  </si>
  <si>
    <t>회원가입 후 로그인을 한다</t>
    <phoneticPr fontId="1" type="noConversion"/>
  </si>
  <si>
    <t>개인정보는 웹서버 DB에 보관된다. 이후 DB를 사용하는 정보는 (DB)라고 표시한다.</t>
    <phoneticPr fontId="1" type="noConversion"/>
  </si>
  <si>
    <t>로그인 후 화면은 상단에 본인 레벨(DB), 현재 포인트, 포인트는 충전포인트(DB)와 전환포인트(DB) 두개로 다시 나눠진다.</t>
    <phoneticPr fontId="1" type="noConversion"/>
  </si>
  <si>
    <t>충전포인트는 포인트 충전버튼을 누르면 충전금액을 설정하고 충전버튼을 누르면, 웹서버에 각아이디와 충전금액 시간이 저장되고</t>
    <phoneticPr fontId="1" type="noConversion"/>
  </si>
  <si>
    <t>충전버튼을 누른후 1시간내 충전확인 후 관리자 화면에서 충전확인을 누르면, 충전포인트가 재설정된다.</t>
    <phoneticPr fontId="1" type="noConversion"/>
  </si>
  <si>
    <t xml:space="preserve"> 이 모든 데이터는 웹서버 DB에서 관리를 한다.</t>
    <phoneticPr fontId="1" type="noConversion"/>
  </si>
  <si>
    <t>13:00~14:00</t>
    <phoneticPr fontId="1" type="noConversion"/>
  </si>
  <si>
    <t>14:00~15:00</t>
    <phoneticPr fontId="1" type="noConversion"/>
  </si>
  <si>
    <r>
      <t xml:space="preserve">1) 구매자는 입금을 완료 해야하며,
</t>
    </r>
    <r>
      <rPr>
        <b/>
        <u/>
        <sz val="11"/>
        <color rgb="FF000000"/>
        <rFont val="맑은 고딕"/>
        <family val="3"/>
        <charset val="129"/>
      </rPr>
      <t>시간이 넘어가면 송금버튼이 사라져 버튼을 누를수 없다.</t>
    </r>
    <r>
      <rPr>
        <sz val="11"/>
        <color rgb="FF000000"/>
        <rFont val="맑은 고딕"/>
        <family val="3"/>
        <charset val="129"/>
      </rPr>
      <t xml:space="preserve">
</t>
    </r>
    <r>
      <rPr>
        <b/>
        <sz val="11"/>
        <color rgb="FFFF0000"/>
        <rFont val="맑은 고딕"/>
        <family val="3"/>
        <charset val="129"/>
      </rPr>
      <t xml:space="preserve">(미입금 처리됨)
</t>
    </r>
    <r>
      <rPr>
        <sz val="11"/>
        <color rgb="FF000000"/>
        <rFont val="맑은 고딕"/>
        <family val="3"/>
        <charset val="129"/>
      </rPr>
      <t xml:space="preserve">
2) 구매자는 송금후 송금버튼을 누르면 판매자가 입금확인 하고, 입금확인
버튼을 누르면 정상거래가 성립된다
3) 구매자는 입금 영수증 및 입금 화면을 캡처하여 업도드 해야 하며 허위영수증 을 업로드 하면 사문서 위조 형사 처벌을 받을수 있다 </t>
    </r>
    <r>
      <rPr>
        <b/>
        <sz val="11"/>
        <color rgb="FF000000"/>
        <rFont val="맑은 고딕"/>
        <family val="3"/>
        <charset val="129"/>
      </rPr>
      <t xml:space="preserve">
</t>
    </r>
    <r>
      <rPr>
        <sz val="11"/>
        <color rgb="FF000000"/>
        <rFont val="맑은 고딕"/>
        <family val="3"/>
        <charset val="129"/>
      </rPr>
      <t xml:space="preserve">
3) 2차매칭 예약을 했다면 금일 미입금 유저가 있을 경우 15시에 2차 매칭을
하여 추가매칭을 할 수 있는 기회가 있다.
</t>
    </r>
    <r>
      <rPr>
        <b/>
        <sz val="11"/>
        <color rgb="FF000000"/>
        <rFont val="맑은 고딕"/>
        <family val="3"/>
        <charset val="129"/>
      </rPr>
      <t>4) 구매 예약시 취소가 불가능함</t>
    </r>
    <phoneticPr fontId="1" type="noConversion"/>
  </si>
  <si>
    <r>
      <t>1) 판매자는 구매자가 입금을 하면 확인 하여 입금 확인 버튼을
눌러 거래완료를 한다.
2) 판매자는</t>
    </r>
    <r>
      <rPr>
        <b/>
        <sz val="11"/>
        <color rgb="FF000000"/>
        <rFont val="맑은 고딕"/>
        <family val="3"/>
        <charset val="129"/>
      </rPr>
      <t>허위 입금 신고 시간</t>
    </r>
    <r>
      <rPr>
        <sz val="11"/>
        <color rgb="FF000000"/>
        <rFont val="맑은 고딕"/>
        <family val="3"/>
        <charset val="129"/>
      </rPr>
      <t xml:space="preserve">으로 입금을 안하고
입금 했다는 불량유저를 신고 할 수 있는 시간이 주어진다.
</t>
    </r>
    <r>
      <rPr>
        <b/>
        <u/>
        <sz val="11"/>
        <color rgb="FFFF0000"/>
        <rFont val="맑은 고딕"/>
        <family val="3"/>
        <charset val="129"/>
      </rPr>
      <t>판매자는 꼭 허위입금 된 것을 신고 할 수 있도록 한다.</t>
    </r>
    <r>
      <rPr>
        <sz val="11"/>
        <color rgb="FF000000"/>
        <rFont val="맑은 고딕"/>
        <family val="3"/>
        <charset val="129"/>
      </rPr>
      <t xml:space="preserve">
3) 판매자는 입금확인 버튼을 누르지 않아도 </t>
    </r>
    <r>
      <rPr>
        <b/>
        <sz val="11"/>
        <color rgb="FF000000"/>
        <rFont val="맑은 고딕"/>
        <family val="3"/>
        <charset val="129"/>
      </rPr>
      <t>자동 입금확인 된다.</t>
    </r>
    <r>
      <rPr>
        <sz val="11"/>
        <color rgb="FF000000"/>
        <rFont val="맑은 고딕"/>
        <family val="3"/>
        <charset val="129"/>
      </rPr>
      <t xml:space="preserve">
</t>
    </r>
    <r>
      <rPr>
        <b/>
        <u/>
        <sz val="11"/>
        <color rgb="FFFF0000"/>
        <rFont val="맑은 고딕"/>
        <family val="3"/>
        <charset val="129"/>
      </rPr>
      <t xml:space="preserve">(꼭 허위 입금 신고를 하시길 바랍니다.)
</t>
    </r>
    <r>
      <rPr>
        <sz val="11"/>
        <color rgb="FF000000"/>
        <rFont val="맑은 고딕"/>
        <family val="3"/>
        <charset val="129"/>
      </rPr>
      <t xml:space="preserve">
4) 미입금으로 판매를 못한 것은 </t>
    </r>
    <r>
      <rPr>
        <b/>
        <sz val="11"/>
        <color rgb="FF000000"/>
        <rFont val="맑은 고딕"/>
        <family val="3"/>
        <charset val="129"/>
      </rPr>
      <t>성실거래 유저(미입금 이력이 없는)와 
2차매칭을 진행하고 오늘 판매완료 한다.
5) 판매 예약시 취소가 불가능함</t>
    </r>
    <phoneticPr fontId="1" type="noConversion"/>
  </si>
  <si>
    <t>5:00~13:00</t>
    <phoneticPr fontId="1" type="noConversion"/>
  </si>
  <si>
    <t>매칭입금</t>
    <phoneticPr fontId="1" type="noConversion"/>
  </si>
  <si>
    <t>미입금확인</t>
    <phoneticPr fontId="1" type="noConversion"/>
  </si>
  <si>
    <t>판매자는 입금확인 후 입금 확인 버튼을 눌러야 함. 미입금 시 미입금 버튼을 눌러야 함.</t>
    <phoneticPr fontId="1" type="noConversion"/>
  </si>
  <si>
    <t>매칭된 사람은 매칭금액을 판매자 계좌로 입금해야함. 입금 후 송금 완료버튼을 눌러야 함. 13시가 지나면 송금완료 버튼 비활성화.</t>
    <phoneticPr fontId="1" type="noConversion"/>
  </si>
  <si>
    <t>관리자 모드에서 실행</t>
    <phoneticPr fontId="1" type="noConversion"/>
  </si>
  <si>
    <t>2차매칭입금</t>
    <phoneticPr fontId="1" type="noConversion"/>
  </si>
  <si>
    <t>19:00~20:00</t>
    <phoneticPr fontId="1" type="noConversion"/>
  </si>
  <si>
    <t>15:00~19:00</t>
    <phoneticPr fontId="1" type="noConversion"/>
  </si>
  <si>
    <t>매칭된 사람은 매칭금액을 판매자 계좌로 입금해야함. 입금 후 송금 완료버튼을 눌러야 함. 19시가 지나면 송금완료 버튼 비활성화.</t>
    <phoneticPr fontId="1" type="noConversion"/>
  </si>
  <si>
    <t>20:00~13:00</t>
    <phoneticPr fontId="1" type="noConversion"/>
  </si>
  <si>
    <t>매칭</t>
    <phoneticPr fontId="1" type="noConversion"/>
  </si>
  <si>
    <t>2차매칭</t>
    <phoneticPr fontId="1" type="noConversion"/>
  </si>
  <si>
    <t>[매칭후]</t>
    <phoneticPr fontId="1" type="noConversion"/>
  </si>
  <si>
    <t>구매,판매 예약</t>
    <phoneticPr fontId="1" type="noConversion"/>
  </si>
  <si>
    <t>1차 매칭 미입금 물량은 2차매칭으로 넘어간다. 2차 매칭 미입금 물량은 한단계 위 가격으로 바뀌고 다음날 판매가능 하다.</t>
    <phoneticPr fontId="1" type="noConversion"/>
  </si>
  <si>
    <t>15번 최고 금액을 구매하는 구매자는 총 포인트가 800개 이하인 구매예약자 우선 매칭된다.</t>
    <phoneticPr fontId="1" type="noConversion"/>
  </si>
  <si>
    <t>17번 최고 금액을 구매하는 구매자는 총 포인트가 800개 이하인 구매예약자 우선 매칭된다.</t>
    <phoneticPr fontId="1" type="noConversion"/>
  </si>
  <si>
    <t>21번 최고 금액을 구매하는 구매자는 총 포인트가 800개 이하인 구매예약자 우선 매칭된다.</t>
    <phoneticPr fontId="1" type="noConversion"/>
  </si>
  <si>
    <t>수량</t>
    <phoneticPr fontId="1" type="noConversion"/>
  </si>
  <si>
    <t>가격</t>
    <phoneticPr fontId="1" type="noConversion"/>
  </si>
  <si>
    <t>교환
표인트</t>
    <phoneticPr fontId="1" type="noConversion"/>
  </si>
  <si>
    <t>차액</t>
    <phoneticPr fontId="1" type="noConversion"/>
  </si>
  <si>
    <t>판매</t>
    <phoneticPr fontId="1" type="noConversion"/>
  </si>
  <si>
    <t>구매</t>
    <phoneticPr fontId="1" type="noConversion"/>
  </si>
  <si>
    <t>분할 가격</t>
    <phoneticPr fontId="1" type="noConversion"/>
  </si>
  <si>
    <t>분할 및 교환 포인트</t>
    <phoneticPr fontId="1" type="noConversion"/>
  </si>
  <si>
    <t>미입금횟수</t>
  </si>
  <si>
    <t>일시정지기간</t>
  </si>
  <si>
    <t>3일</t>
    <phoneticPr fontId="1" type="noConversion"/>
  </si>
  <si>
    <t>7일</t>
    <phoneticPr fontId="1" type="noConversion"/>
  </si>
  <si>
    <t>20일</t>
    <phoneticPr fontId="1" type="noConversion"/>
  </si>
  <si>
    <t>50일</t>
    <phoneticPr fontId="1" type="noConversion"/>
  </si>
  <si>
    <t>120일</t>
  </si>
  <si>
    <t>패널티해제 포인트수량</t>
    <phoneticPr fontId="1" type="noConversion"/>
  </si>
  <si>
    <t>패널티 해제를 위해 포인트를 사용하는 시점부터 일시정지기간 거래정지가 시작됨</t>
    <phoneticPr fontId="1" type="noConversion"/>
  </si>
  <si>
    <t>포인트 사용 설명</t>
    <phoneticPr fontId="1" type="noConversion"/>
  </si>
  <si>
    <t>충전포인트</t>
    <phoneticPr fontId="1" type="noConversion"/>
  </si>
  <si>
    <t>레벨</t>
    <phoneticPr fontId="1" type="noConversion"/>
  </si>
  <si>
    <t>누적수량</t>
    <phoneticPr fontId="1" type="noConversion"/>
  </si>
  <si>
    <t>포인트</t>
    <phoneticPr fontId="1" type="noConversion"/>
  </si>
  <si>
    <t>기간</t>
    <phoneticPr fontId="1" type="noConversion"/>
  </si>
  <si>
    <t>레벨 1</t>
    <phoneticPr fontId="1" type="noConversion"/>
  </si>
  <si>
    <t>무료</t>
    <phoneticPr fontId="1" type="noConversion"/>
  </si>
  <si>
    <t>X</t>
    <phoneticPr fontId="1" type="noConversion"/>
  </si>
  <si>
    <t>레벨 2</t>
    <phoneticPr fontId="1" type="noConversion"/>
  </si>
  <si>
    <t>레벨 3</t>
  </si>
  <si>
    <t>1000 충전포인트</t>
    <phoneticPr fontId="1" type="noConversion"/>
  </si>
  <si>
    <t>30일</t>
    <phoneticPr fontId="1" type="noConversion"/>
  </si>
  <si>
    <t>레벨 4</t>
  </si>
  <si>
    <t>레벨 5</t>
  </si>
  <si>
    <t>1500 충전포인트</t>
    <phoneticPr fontId="1" type="noConversion"/>
  </si>
  <si>
    <t>레벨 6</t>
  </si>
  <si>
    <t>레벨 7</t>
  </si>
  <si>
    <t>2000 충전포인트</t>
    <phoneticPr fontId="1" type="noConversion"/>
  </si>
  <si>
    <t>레벨 8</t>
  </si>
  <si>
    <t>레벨 9</t>
  </si>
  <si>
    <t>레벨 10</t>
  </si>
  <si>
    <t>자동 예약 판매</t>
    <phoneticPr fontId="1" type="noConversion"/>
  </si>
  <si>
    <t>1000 충전&amp;교환포인트</t>
    <phoneticPr fontId="1" type="noConversion"/>
  </si>
  <si>
    <t>매칭시 자동 구매 판매가 되어 있는 사람들은 바로 구매예약 판매예약 실행함</t>
    <phoneticPr fontId="1" type="noConversion"/>
  </si>
  <si>
    <t>매칭시 차감 포인트
(40 포인트)</t>
    <phoneticPr fontId="1" type="noConversion"/>
  </si>
  <si>
    <t>매칭시 차감 되는 40포인트는 먼저 교환 표인트 다음 충전포인트 순이다.</t>
    <phoneticPr fontId="1" type="noConversion"/>
  </si>
  <si>
    <t>소각 합성 차감 포인트
(250 포인트)</t>
    <phoneticPr fontId="1" type="noConversion"/>
  </si>
  <si>
    <t>소각 합성에 사용되는 포인트 역시 충전,교환 구분없이 사용 가능</t>
    <phoneticPr fontId="1" type="noConversion"/>
  </si>
  <si>
    <t>3단계부터는 유료로 포인트를 사용해야만 레벨단계로 거래가능하다</t>
    <phoneticPr fontId="1" type="noConversion"/>
  </si>
  <si>
    <t>포인트 당 금액은 120원임</t>
    <phoneticPr fontId="1" type="noConversion"/>
  </si>
  <si>
    <t>수입금 합산금액은
23.000넘을수 없다</t>
    <phoneticPr fontId="1" type="noConversion"/>
  </si>
  <si>
    <t>(사용포인트250개)*(가격120원)=30,000원</t>
    <phoneticPr fontId="1" type="noConversion"/>
  </si>
  <si>
    <t>수익</t>
    <phoneticPr fontId="1" type="noConversion"/>
  </si>
  <si>
    <t>총구매</t>
    <phoneticPr fontId="1" type="noConversion"/>
  </si>
  <si>
    <t>총판매</t>
    <phoneticPr fontId="1" type="noConversion"/>
  </si>
  <si>
    <t>정상구매</t>
    <phoneticPr fontId="1" type="noConversion"/>
  </si>
  <si>
    <t>합성</t>
    <phoneticPr fontId="1" type="noConversion"/>
  </si>
  <si>
    <t>합성시</t>
    <phoneticPr fontId="1" type="noConversion"/>
  </si>
  <si>
    <t>사용포이트 30,000을 제외한 31,900수익</t>
    <phoneticPr fontId="1" type="noConversion"/>
  </si>
  <si>
    <r>
      <t xml:space="preserve">합성시 </t>
    </r>
    <r>
      <rPr>
        <sz val="11"/>
        <color rgb="FFFF0000"/>
        <rFont val="맑은 고딕"/>
        <family val="3"/>
        <charset val="129"/>
        <scheme val="minor"/>
      </rPr>
      <t>17,800</t>
    </r>
    <r>
      <rPr>
        <sz val="11"/>
        <color theme="1"/>
        <rFont val="맑은 고딕"/>
        <family val="2"/>
        <charset val="129"/>
        <scheme val="minor"/>
      </rPr>
      <t xml:space="preserve"> 금액 금액표에서 17,800
보다 적은 </t>
    </r>
    <r>
      <rPr>
        <b/>
        <i/>
        <u/>
        <sz val="12"/>
        <color theme="1"/>
        <rFont val="맑은 고딕"/>
        <family val="3"/>
        <charset val="129"/>
        <scheme val="minor"/>
      </rPr>
      <t>첫번째</t>
    </r>
    <r>
      <rPr>
        <sz val="11"/>
        <color theme="1"/>
        <rFont val="맑은 고딕"/>
        <family val="2"/>
        <charset val="129"/>
        <scheme val="minor"/>
      </rPr>
      <t xml:space="preserve"> 금액 13번 금액으로 변경</t>
    </r>
    <phoneticPr fontId="1" type="noConversion"/>
  </si>
  <si>
    <r>
      <t xml:space="preserve">정상적으로 구매가격이 </t>
    </r>
    <r>
      <rPr>
        <sz val="11"/>
        <color rgb="FF0000FF"/>
        <rFont val="맑은 고딕"/>
        <family val="3"/>
        <charset val="129"/>
        <scheme val="minor"/>
      </rPr>
      <t>78.000</t>
    </r>
    <r>
      <rPr>
        <sz val="11"/>
        <color theme="1"/>
        <rFont val="맑은 고딕"/>
        <family val="2"/>
        <charset val="129"/>
        <scheme val="minor"/>
      </rPr>
      <t xml:space="preserve"> 판매가격이95.8000 판매수익이 </t>
    </r>
    <r>
      <rPr>
        <sz val="11"/>
        <color rgb="FFFF0000"/>
        <rFont val="맑은 고딕"/>
        <family val="3"/>
        <charset val="129"/>
        <scheme val="minor"/>
      </rPr>
      <t>17.800</t>
    </r>
    <r>
      <rPr>
        <sz val="11"/>
        <color theme="1"/>
        <rFont val="맑은 고딕"/>
        <family val="2"/>
        <charset val="129"/>
        <scheme val="minor"/>
      </rPr>
      <t xml:space="preserve"> 이지만
소각합성으로 인해 구매78.000 판매 139.900 판매 수익이 61.900 발생 여기서 사용 포인트 30,000 제외 해도 31,900 수익 발생</t>
    </r>
    <phoneticPr fontId="1" type="noConversion"/>
  </si>
  <si>
    <t>=</t>
    <phoneticPr fontId="1" type="noConversion"/>
  </si>
  <si>
    <t>합산의 금액이 23,000(16번)  넘을 수 없고 
합성시 바로 다음날 판매 가능하다.</t>
    <phoneticPr fontId="1" type="noConversion"/>
  </si>
  <si>
    <t>사용포이트 30,000을 제외한 24,950
수익</t>
    <phoneticPr fontId="1" type="noConversion"/>
  </si>
  <si>
    <r>
      <t xml:space="preserve">합성시 </t>
    </r>
    <r>
      <rPr>
        <sz val="11"/>
        <color rgb="FFFF0000"/>
        <rFont val="맑은 고딕"/>
        <family val="3"/>
        <charset val="129"/>
        <scheme val="minor"/>
      </rPr>
      <t>16,750</t>
    </r>
    <r>
      <rPr>
        <sz val="11"/>
        <color theme="1"/>
        <rFont val="맑은 고딕"/>
        <family val="2"/>
        <charset val="129"/>
        <scheme val="minor"/>
      </rPr>
      <t xml:space="preserve"> 금액 금액표에서 16,750
보다 적은 </t>
    </r>
    <r>
      <rPr>
        <b/>
        <i/>
        <u/>
        <sz val="12"/>
        <color theme="1"/>
        <rFont val="맑은 고딕"/>
        <family val="3"/>
        <charset val="129"/>
        <scheme val="minor"/>
      </rPr>
      <t>첫번째</t>
    </r>
    <r>
      <rPr>
        <sz val="11"/>
        <color theme="1"/>
        <rFont val="맑은 고딕"/>
        <family val="2"/>
        <charset val="129"/>
        <scheme val="minor"/>
      </rPr>
      <t xml:space="preserve"> 금액 12번 금액으로 변경</t>
    </r>
    <phoneticPr fontId="1" type="noConversion"/>
  </si>
  <si>
    <r>
      <t xml:space="preserve">정상적으로 구매가격이 </t>
    </r>
    <r>
      <rPr>
        <sz val="11"/>
        <color rgb="FF0000FF"/>
        <rFont val="맑은 고딕"/>
        <family val="3"/>
        <charset val="129"/>
        <scheme val="minor"/>
      </rPr>
      <t>67.800</t>
    </r>
    <r>
      <rPr>
        <sz val="11"/>
        <color theme="1"/>
        <rFont val="맑은 고딕"/>
        <family val="2"/>
        <charset val="129"/>
        <scheme val="minor"/>
      </rPr>
      <t xml:space="preserve"> 판매가격이 84,450 판매수익이 </t>
    </r>
    <r>
      <rPr>
        <sz val="11"/>
        <color rgb="FFFF0000"/>
        <rFont val="맑은 고딕"/>
        <family val="3"/>
        <charset val="129"/>
        <scheme val="minor"/>
      </rPr>
      <t>16.750</t>
    </r>
    <r>
      <rPr>
        <sz val="11"/>
        <color theme="1"/>
        <rFont val="맑은 고딕"/>
        <family val="2"/>
        <charset val="129"/>
        <scheme val="minor"/>
      </rPr>
      <t xml:space="preserve"> 이지만
소각합성으로 인해 구매 67,800 판매 122,650 판매 수익이 54,950 발생 여기서 사용 포인트 30,000 제외 해도 24,950 수익 발생</t>
    </r>
    <phoneticPr fontId="1" type="noConversion"/>
  </si>
  <si>
    <t>아이템은 다이아,루비,수정로 나누는데 각각의 바에 대한 내용은 다음 시트를 참고한다.</t>
    <phoneticPr fontId="1" type="noConversion"/>
  </si>
  <si>
    <t>첫화면에는 본인이 가지고 있는 다이아,루비,수정의 보유갯수와 예약가능 수량이 나타난다.</t>
    <phoneticPr fontId="1" type="noConversion"/>
  </si>
  <si>
    <t>순서는 수정가 처음, 루비는 두번째, 다이아는 세번째 순으로 나타난다.</t>
    <phoneticPr fontId="1" type="noConversion"/>
  </si>
  <si>
    <t>보유바가 4일째 매칭이 안되어 남아있으면 판매가능이 아니고 매칭예약가능으로 표시되어야 한다.  예약가능은 모두 매칭예약가능 으로 바꿔줘. 수정 경우 판매예약가능이 3개가 아니고 4개가 되어야 한다. 수정의 예약:최소6-최소7 을 구매예약:최소6 - 최대7로 바꿔주고. 다른바도 동일하게 적용. 오늘예약하기에서 수정 최소 최대 + - 할때마다 루비, 다이아의 숫자가 변경되고 비활성화가 되어야함</t>
    <phoneticPr fontId="1" type="noConversion"/>
  </si>
  <si>
    <t>3레벨 일경우 수정 예약가능수량이 최소7 최대 10이고, 7,8,9개 예약하면 루비 4개, 10개에 5개, 루비 4개면 다이아2,5개면 3개로 표에 표시되어 있는 참고해서 모두 수정해줘, 54.6%-&gt;4레벨(960회) 으로 수정해주고, 다이아가 클릭안됨, 오늘 예약하기를 오늘 매칭예약하기로 수정, 예약하기를 매칭예약하기(40P x 매칭예약수)로 변경해줘</t>
    <phoneticPr fontId="1" type="noConversion"/>
  </si>
  <si>
    <t>* 추가 수정사항</t>
    <phoneticPr fontId="1" type="noConversion"/>
  </si>
  <si>
    <t>총 포인트를 넣어주고 총포인트는 충전포인트 + 전환포인트 로 표시해줘,3레벨 아래는 3에서 4레벨로 되려면 누적횟수가 960이 되어야 4레벨이 되므로 현재 누적횟수가 나오고 960의 몇% 가 달성되었는지 표시해줘, 레벨별 예약 수량을 설명하면 3레벨인 경우 수정 최소7개를 예약하면 루비 4번 예약가능수량이 생기고,9 번하면 4번, 10번하면 5번의 루비 예약가능 수량이 생긴다. 루비 4번을 하면 다이아2번 5번을 하면 3번이 생기는 것이다. 이내용을 참고해서 수정해줘. 수정는 보유가5개 예약가능이 3개이다. 수정를 클릭하면 5개가 각각 어느단계의 수정를 보유하고 있는지 보여주고 각각이 구매일 기준으로 3일째 예약가능하고 4일째 부터 그이후 판매 가능하므로 예약가능한 구매일 3일째 예약가능 4일째 매칭되면 판매되어 사라지고, 매칭이 안되어 남아 있느면 다시 매칭예약 가능하다. 예약가능 최소수량과 최대수량이 표시되며 몇개를 예약 할지 정해서 예약할수있어야 하고, 예약과 동시에 수정 예약 수에 따라서 루비 예약수가 변경되고, 루비 예약수에 따라 다이아 예약수가 변경되어야 한다. 수정, 루비, 다이아 예약가능수는 최소수와 최대수로 표현되어야 한다.</t>
    <phoneticPr fontId="1" type="noConversion"/>
  </si>
  <si>
    <t>수정단계</t>
    <phoneticPr fontId="1" type="noConversion"/>
  </si>
  <si>
    <t>구매가격</t>
    <phoneticPr fontId="1" type="noConversion"/>
  </si>
  <si>
    <t>판매가격</t>
    <phoneticPr fontId="1" type="noConversion"/>
  </si>
  <si>
    <t>수익금</t>
    <phoneticPr fontId="1" type="noConversion"/>
  </si>
  <si>
    <t>사용자 화면에 결합판매 메뉴를 넣고, 메뉴에 들어가면 보유중인 아이템이 나오고 어느 아이템 두개를 선택하면 판매금액과 수익금이 나오게 해줘</t>
    <phoneticPr fontId="1" type="noConversion"/>
  </si>
  <si>
    <t>사용되는 포인트도 표시하고 포인트를 제외한 최종 수익금도 표시해줘</t>
    <phoneticPr fontId="1" type="noConversion"/>
  </si>
  <si>
    <t>구매 예약 및 판매 예약 현황(관리자 모드)</t>
    <phoneticPr fontId="1" type="noConversion"/>
  </si>
  <si>
    <t>추가예약은 루페이 회사가 가지고 있는 계정으로 구매 예약 수량을 조절함</t>
    <phoneticPr fontId="1" type="noConversion"/>
  </si>
  <si>
    <t>구매예약</t>
    <phoneticPr fontId="1" type="noConversion"/>
  </si>
  <si>
    <t>32미만</t>
    <phoneticPr fontId="1" type="noConversion"/>
  </si>
  <si>
    <t>33이상</t>
    <phoneticPr fontId="1" type="noConversion"/>
  </si>
  <si>
    <t>분할 수량</t>
    <phoneticPr fontId="1" type="noConversion"/>
  </si>
  <si>
    <t>판매예약</t>
    <phoneticPr fontId="1" type="noConversion"/>
  </si>
  <si>
    <t>매칭율</t>
    <phoneticPr fontId="1" type="noConversion"/>
  </si>
  <si>
    <t>1차)구매 예약 수량과 판매 예약 수량을 확인해서 매칭율을 확인한다.</t>
    <phoneticPr fontId="1" type="noConversion"/>
  </si>
  <si>
    <t>수정</t>
    <phoneticPr fontId="1" type="noConversion"/>
  </si>
  <si>
    <t>루비</t>
    <phoneticPr fontId="1" type="noConversion"/>
  </si>
  <si>
    <t>다이아</t>
    <phoneticPr fontId="1" type="noConversion"/>
  </si>
  <si>
    <t xml:space="preserve">구매예약 </t>
    <phoneticPr fontId="1" type="noConversion"/>
  </si>
  <si>
    <t>추가 예약</t>
    <phoneticPr fontId="1" type="noConversion"/>
  </si>
  <si>
    <t>구매 총 예약수량</t>
    <phoneticPr fontId="1" type="noConversion"/>
  </si>
  <si>
    <t>판매예약(32미만)</t>
    <phoneticPr fontId="1" type="noConversion"/>
  </si>
  <si>
    <t>판매예약(33이상)</t>
    <phoneticPr fontId="1" type="noConversion"/>
  </si>
  <si>
    <t>분할수량</t>
    <phoneticPr fontId="1" type="noConversion"/>
  </si>
  <si>
    <t>판매 추가예약(32미만)</t>
    <phoneticPr fontId="1" type="noConversion"/>
  </si>
  <si>
    <t>판매 추가예약(33이상)</t>
    <phoneticPr fontId="1" type="noConversion"/>
  </si>
  <si>
    <t>신규발행</t>
    <phoneticPr fontId="1" type="noConversion"/>
  </si>
  <si>
    <t>총 수량</t>
    <phoneticPr fontId="1" type="noConversion"/>
  </si>
  <si>
    <t>구매 예약 및 판매예약 버튼</t>
    <phoneticPr fontId="1" type="noConversion"/>
  </si>
  <si>
    <t>버튼을 누르면 추가 구매 예약 및 판매 예약이 된다. (루페이 계정)
매칭율(아이템 수량)을 관리 한다.</t>
    <phoneticPr fontId="1" type="noConversion"/>
  </si>
  <si>
    <t>2차) 추가로 필요한 구매예약,판매예약 수량을 확인해서 추가 구매예약,추가 판매예약(보유,신규) 수량이 필요한지 확인해서 추가 구매 예약 판매 예약을 한다.</t>
    <phoneticPr fontId="1" type="noConversion"/>
  </si>
  <si>
    <t xml:space="preserve"> 보유수량</t>
    <phoneticPr fontId="1" type="noConversion"/>
  </si>
  <si>
    <t>32만 미만</t>
    <phoneticPr fontId="1" type="noConversion"/>
  </si>
  <si>
    <t>33만 이상</t>
    <phoneticPr fontId="1" type="noConversion"/>
  </si>
  <si>
    <t>합계</t>
    <phoneticPr fontId="1" type="noConversion"/>
  </si>
  <si>
    <t>(예시)</t>
    <phoneticPr fontId="1" type="noConversion"/>
  </si>
  <si>
    <t>판매예약
(32만원미만)</t>
    <phoneticPr fontId="1" type="noConversion"/>
  </si>
  <si>
    <t>판매예약
(33만원이상)</t>
    <phoneticPr fontId="1" type="noConversion"/>
  </si>
  <si>
    <t>판매 추가예약
(32만원미만)</t>
    <phoneticPr fontId="1" type="noConversion"/>
  </si>
  <si>
    <t>판매 추가예약
(33만원이상)</t>
    <phoneticPr fontId="1" type="noConversion"/>
  </si>
  <si>
    <t>금액별 판매예약수량이 나와야됨</t>
    <phoneticPr fontId="1" type="noConversion"/>
  </si>
  <si>
    <t>수정 판매예약수량</t>
    <phoneticPr fontId="1" type="noConversion"/>
  </si>
  <si>
    <t>10만원 미만</t>
    <phoneticPr fontId="1" type="noConversion"/>
  </si>
  <si>
    <t>10~29만원</t>
    <phoneticPr fontId="1" type="noConversion"/>
  </si>
  <si>
    <t>29만원 미만</t>
    <phoneticPr fontId="1" type="noConversion"/>
  </si>
  <si>
    <t>32만원</t>
    <phoneticPr fontId="1" type="noConversion"/>
  </si>
  <si>
    <t>33만원 이상</t>
    <phoneticPr fontId="1" type="noConversion"/>
  </si>
  <si>
    <t>루비 판매예약수량</t>
    <phoneticPr fontId="1" type="noConversion"/>
  </si>
  <si>
    <t>다이아 판매 예약수량</t>
    <phoneticPr fontId="1" type="noConversion"/>
  </si>
  <si>
    <t>행운 매칭  버튼</t>
    <phoneticPr fontId="1" type="noConversion"/>
  </si>
  <si>
    <t>판매자</t>
    <phoneticPr fontId="1" type="noConversion"/>
  </si>
  <si>
    <t>구매자</t>
    <phoneticPr fontId="1" type="noConversion"/>
  </si>
  <si>
    <t>가</t>
    <phoneticPr fontId="1" type="noConversion"/>
  </si>
  <si>
    <t>10만원미만 판매인원</t>
    <phoneticPr fontId="1" type="noConversion"/>
  </si>
  <si>
    <t>구매 예약 수량</t>
    <phoneticPr fontId="1" type="noConversion"/>
  </si>
  <si>
    <t>총 판매수량 중 "가","나","다","라" 금액에서 "가"금액은 행운 구매로 구매자 에게 2개 구매을 하고 나뭐지,"나","다",정상 매칭 "라" 4개 분할 매칭된다</t>
    <phoneticPr fontId="1" type="noConversion"/>
  </si>
  <si>
    <t>나</t>
    <phoneticPr fontId="1" type="noConversion"/>
  </si>
  <si>
    <t>10~29만원 판매 인원</t>
    <phoneticPr fontId="1" type="noConversion"/>
  </si>
  <si>
    <t>다</t>
    <phoneticPr fontId="1" type="noConversion"/>
  </si>
  <si>
    <t>32만원 판매 인원</t>
    <phoneticPr fontId="1" type="noConversion"/>
  </si>
  <si>
    <t>라</t>
    <phoneticPr fontId="1" type="noConversion"/>
  </si>
  <si>
    <t>33만원 판매 인원</t>
    <phoneticPr fontId="1" type="noConversion"/>
  </si>
  <si>
    <t>총수량</t>
    <phoneticPr fontId="1" type="noConversion"/>
  </si>
  <si>
    <t>일반 매칭 버튼</t>
    <phoneticPr fontId="1" type="noConversion"/>
  </si>
  <si>
    <t>일반적으로 판매수량와 구매수량 매칭된다.</t>
    <phoneticPr fontId="1" type="noConversion"/>
  </si>
  <si>
    <t>29만원 미만 판매인원</t>
    <phoneticPr fontId="1" type="noConversion"/>
  </si>
  <si>
    <t>구매 예약 수량</t>
  </si>
  <si>
    <t>예시)</t>
    <phoneticPr fontId="1" type="noConversion"/>
  </si>
  <si>
    <t xml:space="preserve">행운 매칭 </t>
    <phoneticPr fontId="1" type="noConversion"/>
  </si>
  <si>
    <t>총 10개중 "라" 금액은 4개로 분활 되서 총 13라고 할수 있다. "가"6개 , "나" 2개, "다" 1개, "라" 4개 총 13개중 구매예약수량과 매칭을 할때 13개가 매칭되는게 아닌 "가" 행운 구매가 되어 3,2,1,4  매칭된다</t>
    <phoneticPr fontId="1" type="noConversion"/>
  </si>
  <si>
    <t>일반 매칭</t>
    <phoneticPr fontId="1" type="noConversion"/>
  </si>
  <si>
    <t>가 8개 , 나 2개, 다 4개 총 14개 매칭</t>
    <phoneticPr fontId="1" type="noConversion"/>
  </si>
  <si>
    <t>수정의 예약수량 기준이 만족되면 루비의 예약가능수량이 생기고, 루비의 기준이 생기면 다이아의 예약가능 수량이 생긴다</t>
    <phoneticPr fontId="1" type="noConversion"/>
  </si>
  <si>
    <t>본인 레벨, 현재 포인트, 수정,루비,다이아의 예약가능 수량</t>
    <phoneticPr fontId="1" type="noConversion"/>
  </si>
  <si>
    <t>각 아이템의 단계별 보유수량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</si>
</sst>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Red]\(#,##0\)"/>
    <numFmt numFmtId="178" formatCode="0.0%"/>
  </numFmts>
  <fonts count="28" x14ac:knownFonts="1">
    <font>
      <sz val="11"/>
      <color theme="1"/>
      <name val="맑은 고딕"/>
      <family val="2"/>
      <charset val="129"/>
      <scheme val="minor"/>
    </font>
    <font>
      <sz val="8"/>
      <name val="맑은 고딕"/>
      <family val="2"/>
      <charset val="129"/>
      <scheme val="minor"/>
    </font>
    <font>
      <b/>
      <sz val="10"/>
      <color rgb="FF000000"/>
      <name val="Arial"/>
      <family val="2"/>
    </font>
    <font>
      <b/>
      <sz val="10"/>
      <color rgb="FF000000"/>
      <name val="돋움"/>
      <family val="3"/>
      <charset val="129"/>
    </font>
    <font>
      <sz val="9"/>
      <color rgb="FF000000"/>
      <name val="맑은 고딕"/>
      <family val="3"/>
      <charset val="129"/>
    </font>
    <font>
      <b/>
      <sz val="9"/>
      <color rgb="FFFFFFFF"/>
      <name val="맑은 고딕"/>
      <family val="3"/>
      <charset val="129"/>
    </font>
    <font>
      <b/>
      <sz val="10"/>
      <color rgb="FF000000"/>
      <name val="맑은 고딕"/>
      <family val="3"/>
      <charset val="129"/>
    </font>
    <font>
      <sz val="11"/>
      <color rgb="FF000000"/>
      <name val="맑은 고딕"/>
      <family val="3"/>
      <charset val="129"/>
    </font>
    <font>
      <b/>
      <u/>
      <sz val="11"/>
      <color rgb="FF000000"/>
      <name val="맑은 고딕"/>
      <family val="3"/>
      <charset val="129"/>
    </font>
    <font>
      <b/>
      <sz val="11"/>
      <color rgb="FFFF0000"/>
      <name val="맑은 고딕"/>
      <family val="3"/>
      <charset val="129"/>
    </font>
    <font>
      <b/>
      <sz val="11"/>
      <color rgb="FF000000"/>
      <name val="맑은 고딕"/>
      <family val="3"/>
      <charset val="129"/>
    </font>
    <font>
      <b/>
      <u/>
      <sz val="11"/>
      <color rgb="FFFF0000"/>
      <name val="맑은 고딕"/>
      <family val="3"/>
      <charset val="129"/>
    </font>
    <font>
      <sz val="11"/>
      <color rgb="FFFF0000"/>
      <name val="맑은 고딕"/>
      <family val="2"/>
      <charset val="129"/>
      <scheme val="minor"/>
    </font>
    <font>
      <sz val="11"/>
      <color rgb="FF0000FF"/>
      <name val="맑은 고딕"/>
      <family val="2"/>
      <charset val="129"/>
      <scheme val="minor"/>
    </font>
    <font>
      <sz val="11"/>
      <color rgb="FFFF0000"/>
      <name val="맑은 고딕"/>
      <family val="3"/>
      <charset val="129"/>
      <scheme val="minor"/>
    </font>
    <font>
      <b/>
      <i/>
      <u/>
      <sz val="12"/>
      <color theme="1"/>
      <name val="맑은 고딕"/>
      <family val="3"/>
      <charset val="129"/>
      <scheme val="minor"/>
    </font>
    <font>
      <sz val="11"/>
      <color rgb="FF0000FF"/>
      <name val="맑은 고딕"/>
      <family val="3"/>
      <charset val="129"/>
      <scheme val="minor"/>
    </font>
    <font>
      <b/>
      <sz val="11"/>
      <color rgb="FFFF0000"/>
      <name val="맑은 고딕"/>
      <family val="3"/>
      <charset val="129"/>
      <scheme val="minor"/>
    </font>
    <font>
      <b/>
      <sz val="14"/>
      <color rgb="FFFF0000"/>
      <name val="맑은 고딕"/>
      <family val="3"/>
      <charset val="129"/>
      <scheme val="minor"/>
    </font>
    <font>
      <sz val="18"/>
      <color theme="1"/>
      <name val="맑은 고딕"/>
      <family val="2"/>
      <charset val="129"/>
      <scheme val="minor"/>
    </font>
    <font>
      <sz val="18"/>
      <color theme="1"/>
      <name val="맑은 고딕"/>
      <family val="3"/>
      <charset val="129"/>
      <scheme val="minor"/>
    </font>
    <font>
      <sz val="12"/>
      <color theme="1"/>
      <name val="맑은 고딕"/>
      <family val="3"/>
      <charset val="129"/>
      <scheme val="minor"/>
    </font>
    <font>
      <b/>
      <sz val="14"/>
      <color theme="1"/>
      <name val="맑은 고딕"/>
      <family val="3"/>
      <charset val="129"/>
      <scheme val="minor"/>
    </font>
    <font>
      <sz val="16"/>
      <color theme="0"/>
      <name val="맑은 고딕"/>
      <family val="2"/>
      <charset val="129"/>
      <scheme val="minor"/>
    </font>
    <font>
      <sz val="16"/>
      <color theme="0"/>
      <name val="맑은 고딕"/>
      <family val="3"/>
      <charset val="129"/>
      <scheme val="minor"/>
    </font>
    <font>
      <b/>
      <sz val="16"/>
      <color theme="1"/>
      <name val="맑은 고딕"/>
      <family val="3"/>
      <charset val="129"/>
      <scheme val="minor"/>
    </font>
    <font>
      <b/>
      <sz val="11"/>
      <color theme="1"/>
      <name val="맑은 고딕"/>
      <family val="3"/>
      <charset val="129"/>
      <scheme val="minor"/>
    </font>
    <font>
      <sz val="10"/>
      <color theme="1"/>
      <name val="맑은 고딕"/>
      <family val="3"/>
      <charset val="129"/>
      <scheme val="minor"/>
    </font>
  </fonts>
  <fills count="20">
    <fill>
      <patternFill patternType="none"/>
    </fill>
    <fill>
      <patternFill patternType="gray125"/>
    </fill>
    <fill>
      <patternFill patternType="solid">
        <fgColor rgb="FFFFA3A3"/>
        <bgColor indexed="64"/>
      </patternFill>
    </fill>
    <fill>
      <patternFill patternType="solid">
        <fgColor rgb="FFFDE7E6"/>
        <bgColor indexed="64"/>
      </patternFill>
    </fill>
    <fill>
      <patternFill patternType="solid">
        <fgColor rgb="FFFFFCFC"/>
        <bgColor indexed="64"/>
      </patternFill>
    </fill>
    <fill>
      <patternFill patternType="solid">
        <fgColor rgb="FFF9C3C1"/>
        <bgColor indexed="64"/>
      </patternFill>
    </fill>
    <fill>
      <patternFill patternType="solid">
        <fgColor rgb="FFFCE1E0"/>
        <bgColor indexed="64"/>
      </patternFill>
    </fill>
    <fill>
      <patternFill patternType="solid">
        <fgColor rgb="FFFD9494"/>
        <bgColor indexed="64"/>
      </patternFill>
    </fill>
    <fill>
      <patternFill patternType="solid">
        <fgColor rgb="FFFFFBFB"/>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rgb="FF7030A0"/>
        <bgColor indexed="64"/>
      </patternFill>
    </fill>
    <fill>
      <patternFill patternType="solid">
        <fgColor rgb="FF00B0F0"/>
        <bgColor indexed="64"/>
      </patternFill>
    </fill>
    <fill>
      <patternFill patternType="solid">
        <fgColor rgb="FF92D050"/>
        <bgColor indexed="64"/>
      </patternFill>
    </fill>
  </fills>
  <borders count="7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style="medium">
        <color rgb="FFFFFFFF"/>
      </left>
      <right style="medium">
        <color rgb="FFFFFFFF"/>
      </right>
      <top style="medium">
        <color rgb="FFFFFFFF"/>
      </top>
      <bottom style="medium">
        <color rgb="FFFFFFFF"/>
      </bottom>
      <diagonal/>
    </border>
    <border>
      <left/>
      <right/>
      <top style="medium">
        <color rgb="FFFFFFFF"/>
      </top>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rgb="FFFFFFFF"/>
      </right>
      <top style="medium">
        <color indexed="64"/>
      </top>
      <bottom style="medium">
        <color rgb="FFFFFFFF"/>
      </bottom>
      <diagonal/>
    </border>
    <border>
      <left style="medium">
        <color rgb="FFFFFFFF"/>
      </left>
      <right style="medium">
        <color rgb="FFFFFFFF"/>
      </right>
      <top style="medium">
        <color indexed="64"/>
      </top>
      <bottom style="medium">
        <color rgb="FFFFFFFF"/>
      </bottom>
      <diagonal/>
    </border>
    <border>
      <left style="medium">
        <color rgb="FFFFFFFF"/>
      </left>
      <right style="medium">
        <color indexed="64"/>
      </right>
      <top style="medium">
        <color indexed="64"/>
      </top>
      <bottom style="medium">
        <color rgb="FFFFFFFF"/>
      </bottom>
      <diagonal/>
    </border>
    <border>
      <left style="medium">
        <color indexed="64"/>
      </left>
      <right style="medium">
        <color rgb="FFFFFFFF"/>
      </right>
      <top style="medium">
        <color rgb="FFFFFFFF"/>
      </top>
      <bottom style="medium">
        <color rgb="FFFFFFFF"/>
      </bottom>
      <diagonal/>
    </border>
    <border>
      <left style="medium">
        <color rgb="FFFFFFFF"/>
      </left>
      <right style="medium">
        <color indexed="64"/>
      </right>
      <top style="medium">
        <color rgb="FFFFFFFF"/>
      </top>
      <bottom style="medium">
        <color rgb="FFFFFFFF"/>
      </bottom>
      <diagonal/>
    </border>
    <border>
      <left style="medium">
        <color indexed="64"/>
      </left>
      <right style="medium">
        <color rgb="FFFFFFFF"/>
      </right>
      <top style="medium">
        <color rgb="FFFFFFFF"/>
      </top>
      <bottom/>
      <diagonal/>
    </border>
    <border>
      <left style="medium">
        <color rgb="FFFFFFFF"/>
      </left>
      <right style="medium">
        <color rgb="FFFFFFFF"/>
      </right>
      <top style="medium">
        <color rgb="FFFFFFFF"/>
      </top>
      <bottom/>
      <diagonal/>
    </border>
    <border>
      <left style="medium">
        <color rgb="FFFFFFFF"/>
      </left>
      <right style="medium">
        <color indexed="64"/>
      </right>
      <top style="medium">
        <color rgb="FFFFFFFF"/>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s>
  <cellStyleXfs count="1">
    <xf numFmtId="0" fontId="0" fillId="0" borderId="0">
      <alignment vertical="center"/>
    </xf>
  </cellStyleXfs>
  <cellXfs count="269">
    <xf numFmtId="0" fontId="0" fillId="0" borderId="0" xfId="0">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2" xfId="0" applyBorder="1">
      <alignment vertical="center"/>
    </xf>
    <xf numFmtId="0" fontId="0" fillId="0" borderId="13" xfId="0" applyBorder="1">
      <alignment vertical="center"/>
    </xf>
    <xf numFmtId="0" fontId="0" fillId="0" borderId="14" xfId="0" applyBorder="1">
      <alignment vertical="center"/>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0" xfId="0" applyAlignment="1">
      <alignment horizontal="center" vertical="center"/>
    </xf>
    <xf numFmtId="0" fontId="0" fillId="0" borderId="24" xfId="0" applyBorder="1">
      <alignment vertical="center"/>
    </xf>
    <xf numFmtId="0" fontId="0" fillId="0" borderId="25" xfId="0" applyBorder="1">
      <alignment vertical="center"/>
    </xf>
    <xf numFmtId="0" fontId="0" fillId="0" borderId="26" xfId="0" applyBorder="1">
      <alignment vertical="center"/>
    </xf>
    <xf numFmtId="0" fontId="2" fillId="2" borderId="27" xfId="0" applyFont="1" applyFill="1" applyBorder="1" applyAlignment="1">
      <alignment horizontal="center" vertical="center" wrapText="1" readingOrder="1"/>
    </xf>
    <xf numFmtId="0" fontId="3" fillId="2" borderId="27" xfId="0" applyFont="1" applyFill="1" applyBorder="1" applyAlignment="1">
      <alignment horizontal="center" vertical="center" wrapText="1" readingOrder="1"/>
    </xf>
    <xf numFmtId="0" fontId="4" fillId="3" borderId="27" xfId="0" applyFont="1" applyFill="1" applyBorder="1" applyAlignment="1">
      <alignment horizontal="center" vertical="center" wrapText="1" readingOrder="1"/>
    </xf>
    <xf numFmtId="3" fontId="4" fillId="3" borderId="27" xfId="0" applyNumberFormat="1" applyFont="1" applyFill="1" applyBorder="1" applyAlignment="1">
      <alignment horizontal="right" vertical="center" wrapText="1" readingOrder="1"/>
    </xf>
    <xf numFmtId="0" fontId="4" fillId="4" borderId="27" xfId="0" applyFont="1" applyFill="1" applyBorder="1" applyAlignment="1">
      <alignment horizontal="center" vertical="center" wrapText="1" readingOrder="1"/>
    </xf>
    <xf numFmtId="3" fontId="4" fillId="4" borderId="27" xfId="0" applyNumberFormat="1" applyFont="1" applyFill="1" applyBorder="1" applyAlignment="1">
      <alignment horizontal="right" vertical="center" wrapText="1" readingOrder="1"/>
    </xf>
    <xf numFmtId="0" fontId="5" fillId="2" borderId="27" xfId="0" applyFont="1" applyFill="1" applyBorder="1" applyAlignment="1">
      <alignment horizontal="center" vertical="center" wrapText="1" readingOrder="1"/>
    </xf>
    <xf numFmtId="3" fontId="5" fillId="2" borderId="27" xfId="0" applyNumberFormat="1" applyFont="1" applyFill="1" applyBorder="1" applyAlignment="1">
      <alignment horizontal="right" vertical="center" wrapText="1" readingOrder="1"/>
    </xf>
    <xf numFmtId="0" fontId="6" fillId="2" borderId="27" xfId="0" applyFont="1" applyFill="1" applyBorder="1" applyAlignment="1">
      <alignment horizontal="center" vertical="center" wrapText="1" readingOrder="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xf>
    <xf numFmtId="20" fontId="0" fillId="0" borderId="0" xfId="0" applyNumberFormat="1" applyAlignment="1">
      <alignment horizontal="center" vertical="center"/>
    </xf>
    <xf numFmtId="0" fontId="10" fillId="7" borderId="27" xfId="0" applyFont="1" applyFill="1" applyBorder="1" applyAlignment="1">
      <alignment horizontal="center" vertical="center" wrapText="1" readingOrder="1"/>
    </xf>
    <xf numFmtId="0" fontId="10" fillId="2" borderId="27" xfId="0" applyFont="1" applyFill="1" applyBorder="1" applyAlignment="1">
      <alignment horizontal="center" vertical="center" wrapText="1" readingOrder="1"/>
    </xf>
    <xf numFmtId="0" fontId="7" fillId="6" borderId="27" xfId="0" applyFont="1" applyFill="1" applyBorder="1" applyAlignment="1">
      <alignment horizontal="center" vertical="center" wrapText="1" readingOrder="1"/>
    </xf>
    <xf numFmtId="3" fontId="7" fillId="6" borderId="27" xfId="0" applyNumberFormat="1" applyFont="1" applyFill="1" applyBorder="1" applyAlignment="1">
      <alignment horizontal="center" vertical="center" wrapText="1" readingOrder="1"/>
    </xf>
    <xf numFmtId="0" fontId="7" fillId="8" borderId="27" xfId="0" applyFont="1" applyFill="1" applyBorder="1" applyAlignment="1">
      <alignment horizontal="center" vertical="center" wrapText="1" readingOrder="1"/>
    </xf>
    <xf numFmtId="3" fontId="7" fillId="4" borderId="27" xfId="0" applyNumberFormat="1" applyFont="1" applyFill="1" applyBorder="1" applyAlignment="1">
      <alignment horizontal="center" vertical="center" wrapText="1" readingOrder="1"/>
    </xf>
    <xf numFmtId="3" fontId="7" fillId="3" borderId="27" xfId="0" applyNumberFormat="1" applyFont="1" applyFill="1" applyBorder="1" applyAlignment="1">
      <alignment horizontal="center" vertical="center" wrapText="1" readingOrder="1"/>
    </xf>
    <xf numFmtId="3" fontId="7" fillId="8" borderId="27" xfId="0" applyNumberFormat="1" applyFont="1" applyFill="1" applyBorder="1" applyAlignment="1">
      <alignment horizontal="center" vertical="center" wrapText="1" readingOrder="1"/>
    </xf>
    <xf numFmtId="0" fontId="0" fillId="0" borderId="0" xfId="0" applyAlignment="1">
      <alignment horizontal="right" vertical="center"/>
    </xf>
    <xf numFmtId="0" fontId="0" fillId="0" borderId="23" xfId="0" applyBorder="1" applyAlignment="1">
      <alignment horizontal="center" vertical="center"/>
    </xf>
    <xf numFmtId="0" fontId="0" fillId="0" borderId="23" xfId="0" applyBorder="1" applyAlignment="1">
      <alignment horizontal="right" vertical="center"/>
    </xf>
    <xf numFmtId="0" fontId="0" fillId="9" borderId="23" xfId="0" applyFill="1" applyBorder="1" applyAlignment="1">
      <alignment horizontal="center" vertical="center"/>
    </xf>
    <xf numFmtId="0" fontId="0" fillId="9" borderId="23" xfId="0" applyFill="1" applyBorder="1">
      <alignment vertical="center"/>
    </xf>
    <xf numFmtId="0" fontId="0" fillId="9" borderId="23" xfId="0" applyFill="1" applyBorder="1" applyAlignment="1">
      <alignment horizontal="right" vertical="center"/>
    </xf>
    <xf numFmtId="0" fontId="0" fillId="0" borderId="32" xfId="0" applyFill="1" applyBorder="1" applyAlignment="1">
      <alignment horizontal="left" vertical="center"/>
    </xf>
    <xf numFmtId="0" fontId="0" fillId="0" borderId="0" xfId="0" applyAlignment="1">
      <alignment horizontal="center" vertical="center"/>
    </xf>
    <xf numFmtId="0" fontId="0" fillId="0" borderId="23" xfId="0" applyBorder="1" applyAlignment="1">
      <alignment horizontal="center" vertical="center"/>
    </xf>
    <xf numFmtId="0" fontId="0" fillId="10" borderId="0" xfId="0" applyFill="1">
      <alignment vertical="center"/>
    </xf>
    <xf numFmtId="0" fontId="0" fillId="10" borderId="0" xfId="0" applyFill="1" applyAlignment="1">
      <alignment horizontal="center" vertical="center"/>
    </xf>
    <xf numFmtId="0" fontId="0" fillId="10" borderId="33" xfId="0" applyFill="1" applyBorder="1" applyAlignment="1">
      <alignment horizontal="center" vertical="center"/>
    </xf>
    <xf numFmtId="0" fontId="0" fillId="10" borderId="34" xfId="0" applyFill="1" applyBorder="1" applyAlignment="1">
      <alignment horizontal="center" vertical="center"/>
    </xf>
    <xf numFmtId="0" fontId="0" fillId="10" borderId="35" xfId="0" applyFill="1" applyBorder="1" applyAlignment="1">
      <alignment horizontal="center" vertical="center"/>
    </xf>
    <xf numFmtId="0" fontId="0" fillId="10" borderId="0" xfId="0" applyFill="1" applyAlignment="1">
      <alignment vertical="center" wrapText="1"/>
    </xf>
    <xf numFmtId="0" fontId="0" fillId="10" borderId="0" xfId="0" applyFill="1" applyAlignment="1">
      <alignment horizontal="center" vertical="center" wrapText="1"/>
    </xf>
    <xf numFmtId="0" fontId="0" fillId="10" borderId="12" xfId="0" applyFill="1" applyBorder="1" applyAlignment="1">
      <alignment horizontal="center" vertical="center"/>
    </xf>
    <xf numFmtId="176" fontId="0" fillId="10" borderId="14" xfId="0" applyNumberFormat="1" applyFill="1" applyBorder="1">
      <alignment vertical="center"/>
    </xf>
    <xf numFmtId="176" fontId="0" fillId="10" borderId="13" xfId="0" applyNumberFormat="1" applyFill="1" applyBorder="1">
      <alignment vertical="center"/>
    </xf>
    <xf numFmtId="177" fontId="0" fillId="10" borderId="0" xfId="0" applyNumberFormat="1" applyFill="1" applyAlignment="1">
      <alignment horizontal="center" vertical="center"/>
    </xf>
    <xf numFmtId="0" fontId="0" fillId="10" borderId="17" xfId="0" applyFill="1" applyBorder="1" applyAlignment="1">
      <alignment horizontal="center" vertical="center"/>
    </xf>
    <xf numFmtId="176" fontId="0" fillId="10" borderId="19" xfId="0" applyNumberFormat="1" applyFill="1" applyBorder="1">
      <alignment vertical="center"/>
    </xf>
    <xf numFmtId="176" fontId="0" fillId="10" borderId="18" xfId="0" applyNumberFormat="1" applyFill="1" applyBorder="1">
      <alignment vertical="center"/>
    </xf>
    <xf numFmtId="176" fontId="0" fillId="10" borderId="0" xfId="0" applyNumberFormat="1" applyFill="1" applyAlignment="1">
      <alignment horizontal="center" vertical="center"/>
    </xf>
    <xf numFmtId="176" fontId="0" fillId="11" borderId="0" xfId="0" applyNumberFormat="1" applyFill="1" applyAlignment="1">
      <alignment horizontal="center" vertical="center"/>
    </xf>
    <xf numFmtId="0" fontId="0" fillId="10" borderId="23" xfId="0" applyFill="1" applyBorder="1" applyAlignment="1">
      <alignment horizontal="center" vertical="center"/>
    </xf>
    <xf numFmtId="177" fontId="13" fillId="10" borderId="23" xfId="0" applyNumberFormat="1" applyFont="1" applyFill="1" applyBorder="1" applyAlignment="1">
      <alignment horizontal="center" vertical="center"/>
    </xf>
    <xf numFmtId="177" fontId="0" fillId="10" borderId="23" xfId="0" applyNumberFormat="1" applyFill="1" applyBorder="1" applyAlignment="1">
      <alignment horizontal="center" vertical="center"/>
    </xf>
    <xf numFmtId="177" fontId="12" fillId="10" borderId="23" xfId="0" applyNumberFormat="1" applyFont="1" applyFill="1" applyBorder="1" applyAlignment="1">
      <alignment horizontal="center" vertical="center"/>
    </xf>
    <xf numFmtId="177" fontId="0" fillId="11" borderId="23" xfId="0" applyNumberFormat="1" applyFill="1" applyBorder="1" applyAlignment="1">
      <alignment horizontal="center" vertical="center"/>
    </xf>
    <xf numFmtId="176" fontId="0" fillId="10" borderId="0" xfId="0" applyNumberFormat="1" applyFill="1" applyAlignment="1">
      <alignment horizontal="center" vertical="center" wrapText="1"/>
    </xf>
    <xf numFmtId="0" fontId="0" fillId="10" borderId="20" xfId="0" applyFill="1" applyBorder="1" applyAlignment="1">
      <alignment horizontal="center" vertical="center"/>
    </xf>
    <xf numFmtId="176" fontId="0" fillId="10" borderId="22" xfId="0" applyNumberFormat="1" applyFill="1" applyBorder="1">
      <alignment vertical="center"/>
    </xf>
    <xf numFmtId="176" fontId="0" fillId="10" borderId="21" xfId="0" applyNumberFormat="1" applyFill="1" applyBorder="1">
      <alignment vertical="center"/>
    </xf>
    <xf numFmtId="0" fontId="0" fillId="10" borderId="14" xfId="0" applyFill="1" applyBorder="1" applyAlignment="1">
      <alignment horizontal="center" vertical="center"/>
    </xf>
    <xf numFmtId="0" fontId="0" fillId="10" borderId="19" xfId="0" applyFill="1" applyBorder="1" applyAlignment="1">
      <alignment horizontal="center" vertical="center"/>
    </xf>
    <xf numFmtId="0" fontId="17" fillId="11" borderId="38" xfId="0" applyFont="1" applyFill="1" applyBorder="1" applyAlignment="1">
      <alignment horizontal="center" vertical="center"/>
    </xf>
    <xf numFmtId="176" fontId="17" fillId="11" borderId="38" xfId="0" applyNumberFormat="1" applyFont="1" applyFill="1" applyBorder="1">
      <alignment vertical="center"/>
    </xf>
    <xf numFmtId="0" fontId="0" fillId="10" borderId="0" xfId="0" applyFill="1" applyAlignment="1">
      <alignment horizontal="left" vertical="center"/>
    </xf>
    <xf numFmtId="0" fontId="0" fillId="10" borderId="39" xfId="0" applyFill="1" applyBorder="1">
      <alignment vertical="center"/>
    </xf>
    <xf numFmtId="176" fontId="0" fillId="10" borderId="39" xfId="0" applyNumberFormat="1" applyFill="1" applyBorder="1">
      <alignment vertical="center"/>
    </xf>
    <xf numFmtId="176" fontId="0" fillId="11" borderId="39" xfId="0" applyNumberFormat="1" applyFill="1" applyBorder="1">
      <alignment vertical="center"/>
    </xf>
    <xf numFmtId="176" fontId="0" fillId="10" borderId="0" xfId="0" applyNumberFormat="1" applyFill="1">
      <alignment vertical="center"/>
    </xf>
    <xf numFmtId="177" fontId="0" fillId="10" borderId="0" xfId="0" applyNumberFormat="1" applyFill="1">
      <alignment vertical="center"/>
    </xf>
    <xf numFmtId="0" fontId="21" fillId="0" borderId="0" xfId="0" applyFont="1" applyAlignment="1">
      <alignment horizontal="left" vertical="center"/>
    </xf>
    <xf numFmtId="0" fontId="20" fillId="0" borderId="0" xfId="0" applyFont="1" applyAlignment="1">
      <alignment horizontal="center" vertical="center"/>
    </xf>
    <xf numFmtId="0" fontId="20" fillId="0" borderId="0" xfId="0" applyFont="1" applyAlignment="1">
      <alignment horizontal="left" vertical="center"/>
    </xf>
    <xf numFmtId="0" fontId="0" fillId="10" borderId="40" xfId="0" applyFill="1" applyBorder="1" applyAlignment="1">
      <alignment horizontal="center" vertical="center"/>
    </xf>
    <xf numFmtId="0" fontId="0" fillId="10" borderId="43" xfId="0" applyFill="1" applyBorder="1" applyAlignment="1">
      <alignment horizontal="center" vertical="center"/>
    </xf>
    <xf numFmtId="0" fontId="0" fillId="10" borderId="10" xfId="0" applyFill="1" applyBorder="1" applyAlignment="1">
      <alignment horizontal="center" vertical="center"/>
    </xf>
    <xf numFmtId="0" fontId="0" fillId="10" borderId="37" xfId="0" applyFill="1" applyBorder="1" applyAlignment="1">
      <alignment horizontal="center" vertical="center"/>
    </xf>
    <xf numFmtId="0" fontId="0" fillId="10" borderId="11" xfId="0" applyFill="1" applyBorder="1" applyAlignment="1">
      <alignment horizontal="center" vertical="center"/>
    </xf>
    <xf numFmtId="178" fontId="0" fillId="10" borderId="43" xfId="0" applyNumberFormat="1" applyFill="1" applyBorder="1" applyAlignment="1">
      <alignment horizontal="center" vertical="center"/>
    </xf>
    <xf numFmtId="0" fontId="0" fillId="10" borderId="46" xfId="0" applyFill="1" applyBorder="1" applyAlignment="1">
      <alignment horizontal="center" vertical="center"/>
    </xf>
    <xf numFmtId="0" fontId="0" fillId="10" borderId="15" xfId="0" applyFill="1" applyBorder="1" applyAlignment="1">
      <alignment horizontal="center" vertical="center"/>
    </xf>
    <xf numFmtId="0" fontId="0" fillId="10" borderId="16" xfId="0" applyFill="1" applyBorder="1" applyAlignment="1">
      <alignment horizontal="center" vertical="center"/>
    </xf>
    <xf numFmtId="178" fontId="0" fillId="10" borderId="46" xfId="0" applyNumberFormat="1" applyFill="1" applyBorder="1" applyAlignment="1">
      <alignment horizontal="center" vertical="center"/>
    </xf>
    <xf numFmtId="0" fontId="0" fillId="10" borderId="47" xfId="0" applyFill="1" applyBorder="1" applyAlignment="1">
      <alignment horizontal="center" vertical="center"/>
    </xf>
    <xf numFmtId="0" fontId="0" fillId="10" borderId="7" xfId="0" applyFill="1" applyBorder="1" applyAlignment="1">
      <alignment horizontal="center" vertical="center"/>
    </xf>
    <xf numFmtId="0" fontId="0" fillId="10" borderId="9" xfId="0" applyFill="1" applyBorder="1" applyAlignment="1">
      <alignment horizontal="center" vertical="center"/>
    </xf>
    <xf numFmtId="0" fontId="0" fillId="10" borderId="8" xfId="0" applyFill="1" applyBorder="1" applyAlignment="1">
      <alignment horizontal="center" vertical="center"/>
    </xf>
    <xf numFmtId="178" fontId="0" fillId="10" borderId="47" xfId="0" applyNumberFormat="1" applyFill="1" applyBorder="1" applyAlignment="1">
      <alignment horizontal="center" vertical="center"/>
    </xf>
    <xf numFmtId="0" fontId="0" fillId="0" borderId="40" xfId="0" applyBorder="1" applyAlignment="1">
      <alignment horizontal="center" vertical="center"/>
    </xf>
    <xf numFmtId="0" fontId="0" fillId="12" borderId="50" xfId="0" applyFill="1" applyBorder="1">
      <alignment vertical="center"/>
    </xf>
    <xf numFmtId="0" fontId="17" fillId="13" borderId="51" xfId="0" applyFont="1" applyFill="1" applyBorder="1">
      <alignment vertical="center"/>
    </xf>
    <xf numFmtId="0" fontId="0" fillId="12" borderId="40" xfId="0" applyFill="1" applyBorder="1">
      <alignment vertical="center"/>
    </xf>
    <xf numFmtId="0" fontId="0" fillId="14" borderId="33" xfId="0" applyFill="1" applyBorder="1">
      <alignment vertical="center"/>
    </xf>
    <xf numFmtId="0" fontId="0" fillId="14" borderId="34" xfId="0" applyFill="1" applyBorder="1">
      <alignment vertical="center"/>
    </xf>
    <xf numFmtId="0" fontId="0" fillId="14" borderId="35" xfId="0" applyFill="1" applyBorder="1">
      <alignment vertical="center"/>
    </xf>
    <xf numFmtId="0" fontId="17" fillId="15" borderId="50" xfId="0" applyFont="1" applyFill="1" applyBorder="1">
      <alignment vertical="center"/>
    </xf>
    <xf numFmtId="0" fontId="17" fillId="15" borderId="34" xfId="0" applyFont="1" applyFill="1" applyBorder="1">
      <alignment vertical="center"/>
    </xf>
    <xf numFmtId="0" fontId="17" fillId="16" borderId="51" xfId="0" applyFont="1" applyFill="1" applyBorder="1">
      <alignment vertical="center"/>
    </xf>
    <xf numFmtId="0" fontId="17" fillId="16" borderId="40" xfId="0" applyFont="1" applyFill="1" applyBorder="1">
      <alignment vertical="center"/>
    </xf>
    <xf numFmtId="0" fontId="0" fillId="0" borderId="40" xfId="0" applyBorder="1">
      <alignment vertical="center"/>
    </xf>
    <xf numFmtId="0" fontId="0" fillId="0" borderId="43" xfId="0" applyBorder="1" applyAlignment="1">
      <alignment horizontal="center" vertical="center"/>
    </xf>
    <xf numFmtId="0" fontId="0" fillId="12" borderId="52" xfId="0" applyFill="1" applyBorder="1">
      <alignment vertical="center"/>
    </xf>
    <xf numFmtId="0" fontId="17" fillId="13" borderId="53" xfId="0" applyFont="1" applyFill="1" applyBorder="1">
      <alignment vertical="center"/>
    </xf>
    <xf numFmtId="0" fontId="0" fillId="12" borderId="43" xfId="0" applyFill="1" applyBorder="1">
      <alignment vertical="center"/>
    </xf>
    <xf numFmtId="0" fontId="0" fillId="14" borderId="10" xfId="0" applyFill="1" applyBorder="1">
      <alignment vertical="center"/>
    </xf>
    <xf numFmtId="0" fontId="0" fillId="14" borderId="37" xfId="0" applyFill="1" applyBorder="1">
      <alignment vertical="center"/>
    </xf>
    <xf numFmtId="0" fontId="0" fillId="14" borderId="11" xfId="0" applyFill="1" applyBorder="1">
      <alignment vertical="center"/>
    </xf>
    <xf numFmtId="0" fontId="17" fillId="15" borderId="52" xfId="0" applyFont="1" applyFill="1" applyBorder="1">
      <alignment vertical="center"/>
    </xf>
    <xf numFmtId="0" fontId="17" fillId="15" borderId="37" xfId="0" applyFont="1" applyFill="1" applyBorder="1">
      <alignment vertical="center"/>
    </xf>
    <xf numFmtId="0" fontId="17" fillId="16" borderId="53" xfId="0" applyFont="1" applyFill="1" applyBorder="1">
      <alignment vertical="center"/>
    </xf>
    <xf numFmtId="0" fontId="17" fillId="16" borderId="43" xfId="0" applyFont="1" applyFill="1" applyBorder="1">
      <alignment vertical="center"/>
    </xf>
    <xf numFmtId="0" fontId="0" fillId="0" borderId="43" xfId="0" applyBorder="1">
      <alignment vertical="center"/>
    </xf>
    <xf numFmtId="178" fontId="0" fillId="0" borderId="43" xfId="0" applyNumberFormat="1" applyBorder="1">
      <alignment vertical="center"/>
    </xf>
    <xf numFmtId="0" fontId="0" fillId="0" borderId="46" xfId="0" applyBorder="1" applyAlignment="1">
      <alignment horizontal="center" vertical="center"/>
    </xf>
    <xf numFmtId="0" fontId="0" fillId="12" borderId="54" xfId="0" applyFill="1" applyBorder="1">
      <alignment vertical="center"/>
    </xf>
    <xf numFmtId="0" fontId="17" fillId="13" borderId="55" xfId="0" applyFont="1" applyFill="1" applyBorder="1">
      <alignment vertical="center"/>
    </xf>
    <xf numFmtId="0" fontId="0" fillId="12" borderId="46" xfId="0" applyFill="1" applyBorder="1">
      <alignment vertical="center"/>
    </xf>
    <xf numFmtId="0" fontId="0" fillId="14" borderId="15" xfId="0" applyFill="1" applyBorder="1">
      <alignment vertical="center"/>
    </xf>
    <xf numFmtId="0" fontId="0" fillId="14" borderId="23" xfId="0" applyFill="1" applyBorder="1">
      <alignment vertical="center"/>
    </xf>
    <xf numFmtId="0" fontId="0" fillId="14" borderId="16" xfId="0" applyFill="1" applyBorder="1">
      <alignment vertical="center"/>
    </xf>
    <xf numFmtId="0" fontId="17" fillId="15" borderId="54" xfId="0" applyFont="1" applyFill="1" applyBorder="1">
      <alignment vertical="center"/>
    </xf>
    <xf numFmtId="0" fontId="17" fillId="15" borderId="23" xfId="0" applyFont="1" applyFill="1" applyBorder="1">
      <alignment vertical="center"/>
    </xf>
    <xf numFmtId="0" fontId="17" fillId="16" borderId="55" xfId="0" applyFont="1" applyFill="1" applyBorder="1">
      <alignment vertical="center"/>
    </xf>
    <xf numFmtId="0" fontId="0" fillId="0" borderId="47" xfId="0" applyBorder="1" applyAlignment="1">
      <alignment horizontal="center" vertical="center"/>
    </xf>
    <xf numFmtId="0" fontId="0" fillId="12" borderId="56" xfId="0" applyFill="1" applyBorder="1">
      <alignment vertical="center"/>
    </xf>
    <xf numFmtId="0" fontId="17" fillId="13" borderId="57" xfId="0" applyFont="1" applyFill="1" applyBorder="1">
      <alignment vertical="center"/>
    </xf>
    <xf numFmtId="0" fontId="0" fillId="12" borderId="47" xfId="0" applyFill="1" applyBorder="1">
      <alignment vertical="center"/>
    </xf>
    <xf numFmtId="0" fontId="0" fillId="14" borderId="7" xfId="0" applyFill="1" applyBorder="1">
      <alignment vertical="center"/>
    </xf>
    <xf numFmtId="0" fontId="0" fillId="14" borderId="9" xfId="0" applyFill="1" applyBorder="1">
      <alignment vertical="center"/>
    </xf>
    <xf numFmtId="0" fontId="0" fillId="14" borderId="8" xfId="0" applyFill="1" applyBorder="1">
      <alignment vertical="center"/>
    </xf>
    <xf numFmtId="0" fontId="17" fillId="15" borderId="56" xfId="0" applyFont="1" applyFill="1" applyBorder="1">
      <alignment vertical="center"/>
    </xf>
    <xf numFmtId="0" fontId="17" fillId="15" borderId="9" xfId="0" applyFont="1" applyFill="1" applyBorder="1">
      <alignment vertical="center"/>
    </xf>
    <xf numFmtId="0" fontId="17" fillId="16" borderId="57" xfId="0" applyFont="1" applyFill="1" applyBorder="1">
      <alignment vertical="center"/>
    </xf>
    <xf numFmtId="0" fontId="17" fillId="16" borderId="58" xfId="0" applyFont="1" applyFill="1" applyBorder="1">
      <alignment vertical="center"/>
    </xf>
    <xf numFmtId="0" fontId="0" fillId="0" borderId="58" xfId="0" applyBorder="1">
      <alignment vertical="center"/>
    </xf>
    <xf numFmtId="178" fontId="0" fillId="0" borderId="58" xfId="0" applyNumberFormat="1" applyBorder="1">
      <alignment vertical="center"/>
    </xf>
    <xf numFmtId="178" fontId="0" fillId="0" borderId="0" xfId="0" applyNumberFormat="1">
      <alignment vertical="center"/>
    </xf>
    <xf numFmtId="0" fontId="25" fillId="0" borderId="0" xfId="0" applyFont="1">
      <alignment vertical="center"/>
    </xf>
    <xf numFmtId="0" fontId="26" fillId="0" borderId="0" xfId="0" applyFont="1" applyAlignment="1">
      <alignment vertical="center" wrapText="1"/>
    </xf>
    <xf numFmtId="0" fontId="0" fillId="0" borderId="61" xfId="0" applyBorder="1">
      <alignment vertical="center"/>
    </xf>
    <xf numFmtId="0" fontId="0" fillId="0" borderId="34" xfId="0" applyBorder="1">
      <alignment vertical="center"/>
    </xf>
    <xf numFmtId="0" fontId="0" fillId="0" borderId="35" xfId="0" applyBorder="1">
      <alignment vertical="center"/>
    </xf>
    <xf numFmtId="0" fontId="0" fillId="0" borderId="62" xfId="0" applyBorder="1">
      <alignment vertical="center"/>
    </xf>
    <xf numFmtId="0" fontId="0" fillId="0" borderId="37" xfId="0" applyBorder="1">
      <alignment vertical="center"/>
    </xf>
    <xf numFmtId="0" fontId="0" fillId="0" borderId="11" xfId="0" applyBorder="1">
      <alignment vertical="center"/>
    </xf>
    <xf numFmtId="0" fontId="0" fillId="0" borderId="63" xfId="0" applyBorder="1">
      <alignment vertical="center"/>
    </xf>
    <xf numFmtId="0" fontId="0" fillId="0" borderId="16" xfId="0" applyBorder="1">
      <alignment vertical="center"/>
    </xf>
    <xf numFmtId="0" fontId="0" fillId="0" borderId="64" xfId="0" applyBorder="1">
      <alignment vertical="center"/>
    </xf>
    <xf numFmtId="0" fontId="6" fillId="2" borderId="65" xfId="0" applyFont="1" applyFill="1" applyBorder="1" applyAlignment="1">
      <alignment horizontal="center" vertical="center" wrapText="1" readingOrder="1"/>
    </xf>
    <xf numFmtId="0" fontId="2" fillId="2" borderId="66" xfId="0" applyFont="1" applyFill="1" applyBorder="1" applyAlignment="1">
      <alignment horizontal="center" vertical="center" wrapText="1" readingOrder="1"/>
    </xf>
    <xf numFmtId="0" fontId="3" fillId="2" borderId="67" xfId="0" applyFont="1" applyFill="1" applyBorder="1" applyAlignment="1">
      <alignment horizontal="center" vertical="center" wrapText="1" readingOrder="1"/>
    </xf>
    <xf numFmtId="0" fontId="4" fillId="3" borderId="68" xfId="0" applyFont="1" applyFill="1" applyBorder="1" applyAlignment="1">
      <alignment horizontal="center" vertical="center" wrapText="1" readingOrder="1"/>
    </xf>
    <xf numFmtId="3" fontId="4" fillId="3" borderId="69" xfId="0" applyNumberFormat="1" applyFont="1" applyFill="1" applyBorder="1" applyAlignment="1">
      <alignment horizontal="center" vertical="center" wrapText="1" readingOrder="1"/>
    </xf>
    <xf numFmtId="0" fontId="4" fillId="4" borderId="68" xfId="0" applyFont="1" applyFill="1" applyBorder="1" applyAlignment="1">
      <alignment horizontal="center" vertical="center" wrapText="1" readingOrder="1"/>
    </xf>
    <xf numFmtId="3" fontId="4" fillId="4" borderId="69" xfId="0" applyNumberFormat="1" applyFont="1" applyFill="1" applyBorder="1" applyAlignment="1">
      <alignment horizontal="center" vertical="center" wrapText="1" readingOrder="1"/>
    </xf>
    <xf numFmtId="0" fontId="5" fillId="2" borderId="70" xfId="0" applyFont="1" applyFill="1" applyBorder="1" applyAlignment="1">
      <alignment horizontal="center" vertical="center" wrapText="1" readingOrder="1"/>
    </xf>
    <xf numFmtId="3" fontId="5" fillId="2" borderId="71" xfId="0" applyNumberFormat="1" applyFont="1" applyFill="1" applyBorder="1" applyAlignment="1">
      <alignment horizontal="right" vertical="center" wrapText="1" readingOrder="1"/>
    </xf>
    <xf numFmtId="3" fontId="5" fillId="2" borderId="72" xfId="0" applyNumberFormat="1" applyFont="1" applyFill="1" applyBorder="1" applyAlignment="1">
      <alignment horizontal="center" vertical="center" wrapText="1" readingOrder="1"/>
    </xf>
    <xf numFmtId="3" fontId="0" fillId="0" borderId="35" xfId="0" applyNumberFormat="1" applyBorder="1" applyAlignment="1">
      <alignment horizontal="center" vertical="center" readingOrder="1"/>
    </xf>
    <xf numFmtId="176" fontId="0" fillId="0" borderId="35" xfId="0" applyNumberFormat="1" applyBorder="1" applyAlignment="1">
      <alignment horizontal="center" vertical="center" readingOrder="1"/>
    </xf>
    <xf numFmtId="176" fontId="0" fillId="0" borderId="0" xfId="0" applyNumberFormat="1">
      <alignment vertical="center"/>
    </xf>
    <xf numFmtId="0" fontId="27" fillId="0" borderId="0" xfId="0" applyFont="1" applyAlignment="1">
      <alignment horizontal="left" vertical="center"/>
    </xf>
    <xf numFmtId="0" fontId="0" fillId="14" borderId="33" xfId="0" applyFill="1" applyBorder="1" applyAlignment="1">
      <alignment vertical="center" wrapText="1"/>
    </xf>
    <xf numFmtId="0" fontId="0" fillId="14" borderId="34" xfId="0" applyFill="1" applyBorder="1" applyAlignment="1">
      <alignment vertical="center" wrapText="1"/>
    </xf>
    <xf numFmtId="0" fontId="17" fillId="15" borderId="50" xfId="0" applyFont="1" applyFill="1" applyBorder="1" applyAlignment="1">
      <alignment vertical="center" wrapText="1"/>
    </xf>
    <xf numFmtId="0" fontId="17" fillId="15" borderId="34" xfId="0" applyFont="1" applyFill="1" applyBorder="1" applyAlignment="1">
      <alignment vertical="center" wrapText="1"/>
    </xf>
    <xf numFmtId="0" fontId="0" fillId="19" borderId="23" xfId="0" applyFill="1" applyBorder="1">
      <alignment vertical="center"/>
    </xf>
    <xf numFmtId="0" fontId="0" fillId="18" borderId="23" xfId="0" applyFill="1" applyBorder="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7" fillId="5" borderId="28" xfId="0" applyFont="1" applyFill="1" applyBorder="1" applyAlignment="1">
      <alignment horizontal="center" vertical="center" wrapText="1" readingOrder="1"/>
    </xf>
    <xf numFmtId="0" fontId="7" fillId="5" borderId="0" xfId="0" applyFont="1" applyFill="1" applyAlignment="1">
      <alignment horizontal="center" vertical="center" wrapText="1" readingOrder="1"/>
    </xf>
    <xf numFmtId="0" fontId="7" fillId="6" borderId="0" xfId="0" applyFont="1" applyFill="1" applyAlignment="1">
      <alignment horizontal="left" vertical="center" wrapText="1" readingOrder="1"/>
    </xf>
    <xf numFmtId="0" fontId="7" fillId="6" borderId="28" xfId="0" applyFont="1" applyFill="1" applyBorder="1" applyAlignment="1">
      <alignment horizontal="left" vertical="center" wrapText="1" readingOrder="1"/>
    </xf>
    <xf numFmtId="0" fontId="0" fillId="0" borderId="0" xfId="0" applyAlignment="1">
      <alignment horizontal="left" vertical="center" wrapText="1"/>
    </xf>
    <xf numFmtId="0" fontId="0" fillId="0" borderId="23" xfId="0" applyBorder="1" applyAlignment="1">
      <alignment horizontal="center" vertical="center"/>
    </xf>
    <xf numFmtId="0" fontId="0" fillId="0" borderId="23" xfId="0" applyBorder="1" applyAlignment="1">
      <alignment horizontal="center" vertical="center" wrapText="1"/>
    </xf>
    <xf numFmtId="0" fontId="7" fillId="8" borderId="29" xfId="0" applyFont="1" applyFill="1" applyBorder="1" applyAlignment="1">
      <alignment horizontal="center" vertical="center" wrapText="1" readingOrder="1"/>
    </xf>
    <xf numFmtId="0" fontId="7" fillId="8" borderId="30" xfId="0" applyFont="1" applyFill="1" applyBorder="1" applyAlignment="1">
      <alignment horizontal="center" vertical="center" wrapText="1" readingOrder="1"/>
    </xf>
    <xf numFmtId="0" fontId="7" fillId="8" borderId="31" xfId="0" applyFont="1" applyFill="1" applyBorder="1" applyAlignment="1">
      <alignment horizontal="center" vertical="center" wrapText="1" readingOrder="1"/>
    </xf>
    <xf numFmtId="0" fontId="0" fillId="9" borderId="32" xfId="0" applyFill="1" applyBorder="1" applyAlignment="1">
      <alignment horizontal="center" vertical="center" wrapText="1"/>
    </xf>
    <xf numFmtId="0" fontId="0" fillId="9" borderId="0" xfId="0" applyFill="1" applyAlignment="1">
      <alignment horizontal="center" vertical="center" wrapText="1"/>
    </xf>
    <xf numFmtId="0" fontId="0" fillId="10" borderId="0" xfId="0" applyFill="1" applyAlignment="1">
      <alignment horizontal="center" vertical="center"/>
    </xf>
    <xf numFmtId="0" fontId="0" fillId="10" borderId="23" xfId="0" applyFill="1" applyBorder="1" applyAlignment="1">
      <alignment horizontal="center" vertical="center" wrapText="1"/>
    </xf>
    <xf numFmtId="0" fontId="0" fillId="10" borderId="0" xfId="0" applyFill="1" applyAlignment="1">
      <alignment horizontal="left" vertical="center" wrapText="1"/>
    </xf>
    <xf numFmtId="0" fontId="0" fillId="10" borderId="23" xfId="0" applyFill="1" applyBorder="1" applyAlignment="1">
      <alignment horizontal="center" vertical="center"/>
    </xf>
    <xf numFmtId="176" fontId="0" fillId="10" borderId="23" xfId="0" applyNumberFormat="1" applyFill="1" applyBorder="1" applyAlignment="1">
      <alignment horizontal="center" vertical="center"/>
    </xf>
    <xf numFmtId="176" fontId="0" fillId="10" borderId="36" xfId="0" applyNumberFormat="1" applyFill="1" applyBorder="1" applyAlignment="1">
      <alignment horizontal="center" vertical="center"/>
    </xf>
    <xf numFmtId="176" fontId="0" fillId="10" borderId="37" xfId="0" applyNumberFormat="1" applyFill="1" applyBorder="1" applyAlignment="1">
      <alignment horizontal="center" vertical="center"/>
    </xf>
    <xf numFmtId="176" fontId="0" fillId="10" borderId="23" xfId="0" applyNumberFormat="1" applyFill="1" applyBorder="1" applyAlignment="1">
      <alignment horizontal="center" vertical="center" wrapText="1"/>
    </xf>
    <xf numFmtId="0" fontId="18" fillId="10" borderId="0" xfId="0" applyFont="1" applyFill="1" applyAlignment="1">
      <alignment horizontal="center" vertical="center" wrapText="1"/>
    </xf>
    <xf numFmtId="0" fontId="0" fillId="10" borderId="0" xfId="0" applyFill="1" applyAlignment="1">
      <alignment horizontal="center" vertical="center" wrapText="1"/>
    </xf>
    <xf numFmtId="0" fontId="26" fillId="0" borderId="41" xfId="0" applyFont="1" applyBorder="1" applyAlignment="1">
      <alignment horizontal="center" vertical="center" wrapText="1"/>
    </xf>
    <xf numFmtId="0" fontId="26" fillId="0" borderId="59" xfId="0" applyFont="1" applyBorder="1" applyAlignment="1">
      <alignment horizontal="center" vertical="center" wrapText="1"/>
    </xf>
    <xf numFmtId="0" fontId="26" fillId="0" borderId="42" xfId="0" applyFont="1" applyBorder="1" applyAlignment="1">
      <alignment horizontal="center" vertical="center" wrapText="1"/>
    </xf>
    <xf numFmtId="0" fontId="26" fillId="0" borderId="44" xfId="0" applyFont="1" applyBorder="1" applyAlignment="1">
      <alignment horizontal="center" vertical="center" wrapText="1"/>
    </xf>
    <xf numFmtId="0" fontId="26" fillId="0" borderId="0" xfId="0" applyFont="1" applyAlignment="1">
      <alignment horizontal="center" vertical="center" wrapText="1"/>
    </xf>
    <xf numFmtId="0" fontId="26" fillId="0" borderId="45" xfId="0" applyFont="1" applyBorder="1" applyAlignment="1">
      <alignment horizontal="center" vertical="center" wrapText="1"/>
    </xf>
    <xf numFmtId="0" fontId="26" fillId="0" borderId="48" xfId="0" applyFont="1" applyBorder="1" applyAlignment="1">
      <alignment horizontal="center" vertical="center" wrapText="1"/>
    </xf>
    <xf numFmtId="0" fontId="26" fillId="0" borderId="60" xfId="0" applyFont="1" applyBorder="1" applyAlignment="1">
      <alignment horizontal="center" vertical="center" wrapText="1"/>
    </xf>
    <xf numFmtId="0" fontId="26" fillId="0" borderId="49" xfId="0" applyFont="1" applyBorder="1" applyAlignment="1">
      <alignment horizontal="center" vertical="center" wrapText="1"/>
    </xf>
    <xf numFmtId="0" fontId="0" fillId="0" borderId="33" xfId="0" applyBorder="1" applyAlignment="1">
      <alignment horizontal="center" vertical="center"/>
    </xf>
    <xf numFmtId="0" fontId="0" fillId="0" borderId="34" xfId="0" applyBorder="1" applyAlignment="1">
      <alignment horizontal="center" vertical="center"/>
    </xf>
    <xf numFmtId="176" fontId="0" fillId="0" borderId="33" xfId="0" applyNumberFormat="1" applyBorder="1" applyAlignment="1">
      <alignment horizontal="center" vertical="center"/>
    </xf>
    <xf numFmtId="176" fontId="0" fillId="0" borderId="34" xfId="0" applyNumberFormat="1" applyBorder="1" applyAlignment="1">
      <alignment horizontal="center" vertical="center"/>
    </xf>
    <xf numFmtId="0" fontId="19" fillId="0" borderId="0" xfId="0" applyFont="1" applyAlignment="1">
      <alignment horizontal="left" vertical="center"/>
    </xf>
    <xf numFmtId="0" fontId="20" fillId="0" borderId="0" xfId="0" applyFont="1" applyAlignment="1">
      <alignment horizontal="left" vertical="center"/>
    </xf>
    <xf numFmtId="0" fontId="22" fillId="0" borderId="41" xfId="0" applyFont="1" applyBorder="1" applyAlignment="1">
      <alignment horizontal="center" vertical="center" wrapText="1"/>
    </xf>
    <xf numFmtId="0" fontId="22" fillId="0" borderId="42" xfId="0" applyFont="1" applyBorder="1" applyAlignment="1">
      <alignment horizontal="center" vertical="center" wrapText="1"/>
    </xf>
    <xf numFmtId="0" fontId="22" fillId="0" borderId="44" xfId="0" applyFont="1" applyBorder="1" applyAlignment="1">
      <alignment horizontal="center" vertical="center" wrapText="1"/>
    </xf>
    <xf numFmtId="0" fontId="22" fillId="0" borderId="45" xfId="0" applyFont="1" applyBorder="1" applyAlignment="1">
      <alignment horizontal="center" vertical="center" wrapText="1"/>
    </xf>
    <xf numFmtId="0" fontId="22" fillId="0" borderId="48" xfId="0" applyFont="1" applyBorder="1" applyAlignment="1">
      <alignment horizontal="center" vertical="center" wrapText="1"/>
    </xf>
    <xf numFmtId="0" fontId="22" fillId="0" borderId="49" xfId="0" applyFont="1" applyBorder="1" applyAlignment="1">
      <alignment horizontal="center" vertical="center" wrapText="1"/>
    </xf>
    <xf numFmtId="0" fontId="23" fillId="17" borderId="0" xfId="0" applyFont="1" applyFill="1" applyAlignment="1">
      <alignment horizontal="center" vertical="center"/>
    </xf>
    <xf numFmtId="0" fontId="24" fillId="17" borderId="0" xfId="0" applyFont="1" applyFill="1" applyAlignment="1">
      <alignment horizontal="center" vertical="center"/>
    </xf>
    <xf numFmtId="0" fontId="22" fillId="0" borderId="0" xfId="0" applyFont="1" applyAlignment="1">
      <alignment horizontal="center" vertical="center" wrapText="1"/>
    </xf>
    <xf numFmtId="0" fontId="0" fillId="0" borderId="73" xfId="0" applyBorder="1" applyAlignment="1">
      <alignment horizontal="center" vertical="center"/>
    </xf>
    <xf numFmtId="0" fontId="0" fillId="0" borderId="37" xfId="0" applyBorder="1" applyAlignment="1">
      <alignment horizontal="center" vertical="center"/>
    </xf>
    <xf numFmtId="0" fontId="0" fillId="18" borderId="36" xfId="0" applyFill="1" applyBorder="1" applyAlignment="1">
      <alignment horizontal="center" vertical="center"/>
    </xf>
    <xf numFmtId="0" fontId="0" fillId="18" borderId="37" xfId="0" applyFill="1" applyBorder="1" applyAlignment="1">
      <alignment horizontal="center" vertical="center"/>
    </xf>
    <xf numFmtId="0" fontId="0" fillId="19" borderId="36" xfId="0" applyFill="1" applyBorder="1" applyAlignment="1">
      <alignment horizontal="center" vertical="center"/>
    </xf>
    <xf numFmtId="0" fontId="0" fillId="19" borderId="37" xfId="0" applyFill="1" applyBorder="1" applyAlignment="1">
      <alignment horizontal="center" vertical="center"/>
    </xf>
    <xf numFmtId="0" fontId="0" fillId="0" borderId="36" xfId="0" applyBorder="1" applyAlignment="1">
      <alignment horizontal="center" vertical="center"/>
    </xf>
    <xf numFmtId="0" fontId="0" fillId="18" borderId="0" xfId="0" applyFill="1" applyAlignment="1">
      <alignment horizontal="center" vertical="center"/>
    </xf>
    <xf numFmtId="0" fontId="0" fillId="0" borderId="55" xfId="0" applyBorder="1" applyAlignment="1">
      <alignment horizontal="center" vertical="center"/>
    </xf>
    <xf numFmtId="0" fontId="0" fillId="0" borderId="74" xfId="0" applyBorder="1" applyAlignment="1">
      <alignment horizontal="center" vertical="center" wrapText="1"/>
    </xf>
    <xf numFmtId="0" fontId="0" fillId="0" borderId="39" xfId="0" applyBorder="1" applyAlignment="1">
      <alignment horizontal="center" vertical="center" wrapText="1"/>
    </xf>
    <xf numFmtId="0" fontId="0" fillId="0" borderId="7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center" wrapText="1"/>
    </xf>
    <xf numFmtId="0" fontId="0" fillId="0" borderId="76" xfId="0" applyBorder="1" applyAlignment="1">
      <alignment horizontal="center" vertical="center" wrapText="1"/>
    </xf>
    <xf numFmtId="0" fontId="0" fillId="0" borderId="53" xfId="0" applyBorder="1" applyAlignment="1">
      <alignment horizontal="center" vertical="center" wrapText="1"/>
    </xf>
    <xf numFmtId="0" fontId="0" fillId="0" borderId="77" xfId="0" applyBorder="1" applyAlignment="1">
      <alignment horizontal="center" vertical="center" wrapText="1"/>
    </xf>
    <xf numFmtId="0" fontId="0" fillId="0" borderId="52" xfId="0" applyBorder="1" applyAlignment="1">
      <alignment horizontal="center" vertical="center" wrapText="1"/>
    </xf>
    <xf numFmtId="0" fontId="0" fillId="19" borderId="0" xfId="0" applyFill="1" applyAlignment="1">
      <alignment horizontal="center" vertical="center"/>
    </xf>
    <xf numFmtId="0" fontId="0" fillId="0" borderId="32" xfId="0" applyBorder="1" applyAlignment="1">
      <alignment horizontal="left" vertical="center" wrapText="1"/>
    </xf>
    <xf numFmtId="0" fontId="0" fillId="0" borderId="74" xfId="0" applyBorder="1" applyAlignment="1">
      <alignment horizontal="center" vertical="center"/>
    </xf>
    <xf numFmtId="0" fontId="0" fillId="0" borderId="39" xfId="0" applyBorder="1" applyAlignment="1">
      <alignment horizontal="center" vertical="center"/>
    </xf>
    <xf numFmtId="0" fontId="0" fillId="0" borderId="75" xfId="0" applyBorder="1" applyAlignment="1">
      <alignment horizontal="center" vertical="center"/>
    </xf>
    <xf numFmtId="0" fontId="0" fillId="0" borderId="32" xfId="0" applyBorder="1" applyAlignment="1">
      <alignment horizontal="center" vertical="center"/>
    </xf>
    <xf numFmtId="0" fontId="0" fillId="0" borderId="76" xfId="0" applyBorder="1" applyAlignment="1">
      <alignment horizontal="center" vertical="center"/>
    </xf>
    <xf numFmtId="0" fontId="0" fillId="0" borderId="53" xfId="0" applyBorder="1" applyAlignment="1">
      <alignment horizontal="center" vertical="center"/>
    </xf>
    <xf numFmtId="0" fontId="0" fillId="0" borderId="77" xfId="0" applyBorder="1" applyAlignment="1">
      <alignment horizontal="center" vertical="center"/>
    </xf>
    <xf numFmtId="0" fontId="0" fillId="0" borderId="52" xfId="0"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C4AA2-FA1B-45DE-BBAF-8CB68BD885C6}">
  <dimension ref="A1:A21"/>
  <sheetViews>
    <sheetView workbookViewId="0">
      <selection activeCell="D25" sqref="D25"/>
    </sheetView>
  </sheetViews>
  <sheetFormatPr defaultRowHeight="16.5" x14ac:dyDescent="0.3"/>
  <sheetData>
    <row r="1" spans="1:1" x14ac:dyDescent="0.3">
      <c r="A1" t="s">
        <v>45</v>
      </c>
    </row>
    <row r="2" spans="1:1" x14ac:dyDescent="0.3">
      <c r="A2" t="s">
        <v>46</v>
      </c>
    </row>
    <row r="3" spans="1:1" x14ac:dyDescent="0.3">
      <c r="A3" t="s">
        <v>47</v>
      </c>
    </row>
    <row r="4" spans="1:1" x14ac:dyDescent="0.3">
      <c r="A4" t="s">
        <v>48</v>
      </c>
    </row>
    <row r="5" spans="1:1" x14ac:dyDescent="0.3">
      <c r="A5" t="s">
        <v>50</v>
      </c>
    </row>
    <row r="6" spans="1:1" x14ac:dyDescent="0.3">
      <c r="A6" t="s">
        <v>49</v>
      </c>
    </row>
    <row r="7" spans="1:1" x14ac:dyDescent="0.3">
      <c r="A7" t="s">
        <v>51</v>
      </c>
    </row>
    <row r="8" spans="1:1" x14ac:dyDescent="0.3">
      <c r="A8" t="s">
        <v>52</v>
      </c>
    </row>
    <row r="10" spans="1:1" x14ac:dyDescent="0.3">
      <c r="A10" t="s">
        <v>141</v>
      </c>
    </row>
    <row r="11" spans="1:1" x14ac:dyDescent="0.3">
      <c r="A11" t="s">
        <v>142</v>
      </c>
    </row>
    <row r="12" spans="1:1" x14ac:dyDescent="0.3">
      <c r="A12" t="s">
        <v>143</v>
      </c>
    </row>
    <row r="13" spans="1:1" x14ac:dyDescent="0.3">
      <c r="A13" t="s">
        <v>53</v>
      </c>
    </row>
    <row r="15" spans="1:1" x14ac:dyDescent="0.3">
      <c r="A15" t="s">
        <v>146</v>
      </c>
    </row>
    <row r="17" spans="1:1" x14ac:dyDescent="0.3">
      <c r="A17" t="s">
        <v>147</v>
      </c>
    </row>
    <row r="19" spans="1:1" x14ac:dyDescent="0.3">
      <c r="A19" t="s">
        <v>144</v>
      </c>
    </row>
    <row r="21" spans="1:1" x14ac:dyDescent="0.3">
      <c r="A21" t="s">
        <v>145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6"/>
  <sheetViews>
    <sheetView tabSelected="1" workbookViewId="0">
      <selection activeCell="N12" sqref="N12"/>
    </sheetView>
  </sheetViews>
  <sheetFormatPr defaultRowHeight="16.5" x14ac:dyDescent="0.3"/>
  <cols>
    <col min="1" max="1" width="5.875" customWidth="1"/>
    <col min="2" max="2" width="8.75" customWidth="1"/>
    <col min="3" max="3" width="9.375" customWidth="1"/>
    <col min="4" max="6" width="5.875" customWidth="1"/>
    <col min="7" max="7" width="8.875" customWidth="1"/>
    <col min="8" max="8" width="8.375" customWidth="1"/>
    <col min="9" max="11" width="5.875" customWidth="1"/>
    <col min="12" max="13" width="7.125" bestFit="1" customWidth="1"/>
    <col min="14" max="22" width="5.875" customWidth="1"/>
  </cols>
  <sheetData>
    <row r="1" spans="1:31" x14ac:dyDescent="0.3">
      <c r="A1" s="182" t="s">
        <v>0</v>
      </c>
      <c r="B1" s="182"/>
      <c r="C1" s="182"/>
      <c r="D1" s="182"/>
      <c r="E1" s="182"/>
      <c r="F1" s="182"/>
      <c r="G1" s="182"/>
      <c r="H1" s="182"/>
      <c r="I1" s="182"/>
      <c r="J1" s="182"/>
      <c r="K1" s="182"/>
      <c r="L1" s="182"/>
      <c r="M1" s="182"/>
      <c r="N1" s="182"/>
      <c r="O1" s="182"/>
      <c r="P1" s="182"/>
      <c r="Q1" s="182"/>
      <c r="R1" s="182"/>
      <c r="S1" s="182"/>
      <c r="T1" s="182"/>
      <c r="U1" s="182"/>
      <c r="V1" s="182"/>
    </row>
    <row r="2" spans="1:31" x14ac:dyDescent="0.3">
      <c r="A2" s="182"/>
      <c r="B2" s="182"/>
      <c r="C2" s="182"/>
      <c r="D2" s="182"/>
      <c r="E2" s="182"/>
      <c r="F2" s="182"/>
      <c r="G2" s="182"/>
      <c r="H2" s="182"/>
      <c r="I2" s="182"/>
      <c r="J2" s="182"/>
      <c r="K2" s="182"/>
      <c r="L2" s="182"/>
      <c r="M2" s="182"/>
      <c r="N2" s="182"/>
      <c r="O2" s="182"/>
      <c r="P2" s="182"/>
      <c r="Q2" s="182"/>
      <c r="R2" s="182"/>
      <c r="S2" s="182"/>
      <c r="T2" s="182"/>
      <c r="U2" s="182"/>
      <c r="V2" s="182"/>
    </row>
    <row r="3" spans="1:31" ht="17.25" thickBot="1" x14ac:dyDescent="0.35">
      <c r="A3" s="182"/>
      <c r="B3" s="182"/>
    </row>
    <row r="4" spans="1:31" x14ac:dyDescent="0.3">
      <c r="A4" s="183" t="s">
        <v>1</v>
      </c>
      <c r="B4" s="185"/>
      <c r="C4" s="183" t="s">
        <v>2</v>
      </c>
      <c r="D4" s="185"/>
      <c r="E4" s="188" t="s">
        <v>3</v>
      </c>
      <c r="F4" s="189"/>
      <c r="G4" s="190"/>
      <c r="H4" s="183" t="s">
        <v>4</v>
      </c>
      <c r="I4" s="184"/>
      <c r="J4" s="185"/>
      <c r="K4" s="183" t="s">
        <v>5</v>
      </c>
      <c r="L4" s="184"/>
      <c r="M4" s="185"/>
      <c r="N4" s="183" t="s">
        <v>6</v>
      </c>
      <c r="O4" s="184"/>
      <c r="P4" s="185"/>
      <c r="Q4" s="183" t="s">
        <v>7</v>
      </c>
      <c r="R4" s="184"/>
      <c r="S4" s="185"/>
      <c r="T4" s="183" t="s">
        <v>8</v>
      </c>
      <c r="U4" s="184"/>
      <c r="V4" s="185"/>
      <c r="W4" s="183" t="s">
        <v>11</v>
      </c>
      <c r="X4" s="184"/>
      <c r="Y4" s="185"/>
      <c r="Z4" s="183" t="s">
        <v>12</v>
      </c>
      <c r="AA4" s="184"/>
      <c r="AB4" s="185"/>
      <c r="AC4" s="188" t="s">
        <v>13</v>
      </c>
      <c r="AD4" s="189"/>
      <c r="AE4" s="190"/>
    </row>
    <row r="5" spans="1:31" ht="17.25" thickBot="1" x14ac:dyDescent="0.35">
      <c r="A5" s="186"/>
      <c r="B5" s="187"/>
      <c r="C5" s="1" t="s">
        <v>9</v>
      </c>
      <c r="D5" s="2" t="s">
        <v>10</v>
      </c>
      <c r="E5" s="1" t="s">
        <v>9</v>
      </c>
      <c r="F5" s="3"/>
      <c r="G5" s="2" t="s">
        <v>10</v>
      </c>
      <c r="H5" s="1" t="s">
        <v>9</v>
      </c>
      <c r="I5" s="3"/>
      <c r="J5" s="2" t="s">
        <v>10</v>
      </c>
      <c r="K5" s="1" t="s">
        <v>9</v>
      </c>
      <c r="L5" s="3"/>
      <c r="M5" s="2" t="s">
        <v>10</v>
      </c>
      <c r="N5" s="1" t="s">
        <v>9</v>
      </c>
      <c r="O5" s="3"/>
      <c r="P5" s="2" t="s">
        <v>10</v>
      </c>
      <c r="Q5" s="1" t="s">
        <v>9</v>
      </c>
      <c r="R5" s="3"/>
      <c r="S5" s="2" t="s">
        <v>10</v>
      </c>
      <c r="T5" s="1" t="s">
        <v>9</v>
      </c>
      <c r="U5" s="3"/>
      <c r="V5" s="2" t="s">
        <v>10</v>
      </c>
      <c r="W5" s="1" t="s">
        <v>9</v>
      </c>
      <c r="X5" s="3"/>
      <c r="Y5" s="2" t="s">
        <v>10</v>
      </c>
      <c r="Z5" s="1" t="s">
        <v>9</v>
      </c>
      <c r="AA5" s="3"/>
      <c r="AB5" s="2" t="s">
        <v>10</v>
      </c>
      <c r="AC5" s="1" t="s">
        <v>9</v>
      </c>
      <c r="AD5" s="3"/>
      <c r="AE5" s="2" t="s">
        <v>10</v>
      </c>
    </row>
    <row r="6" spans="1:31" x14ac:dyDescent="0.3">
      <c r="A6" s="191" t="s">
        <v>163</v>
      </c>
      <c r="B6" s="192"/>
      <c r="C6" s="4">
        <v>1</v>
      </c>
      <c r="D6" s="5">
        <v>3</v>
      </c>
      <c r="E6" s="4">
        <v>4</v>
      </c>
      <c r="F6" s="6">
        <v>5</v>
      </c>
      <c r="G6" s="5">
        <v>6</v>
      </c>
      <c r="H6" s="4">
        <v>7</v>
      </c>
      <c r="I6" s="6">
        <v>9</v>
      </c>
      <c r="J6" s="5">
        <v>10</v>
      </c>
      <c r="K6" s="4">
        <v>11</v>
      </c>
      <c r="L6" s="6">
        <v>12</v>
      </c>
      <c r="M6" s="5">
        <v>14</v>
      </c>
      <c r="N6" s="4">
        <v>15</v>
      </c>
      <c r="O6" s="6">
        <v>18</v>
      </c>
      <c r="P6" s="5">
        <v>20</v>
      </c>
      <c r="Q6" s="4">
        <v>21</v>
      </c>
      <c r="R6" s="6">
        <v>15</v>
      </c>
      <c r="S6" s="5">
        <v>27</v>
      </c>
      <c r="T6" s="4">
        <v>28</v>
      </c>
      <c r="U6" s="6">
        <v>32</v>
      </c>
      <c r="V6" s="5">
        <v>34</v>
      </c>
      <c r="W6" s="4">
        <v>35</v>
      </c>
      <c r="X6" s="6">
        <v>40</v>
      </c>
      <c r="Y6" s="5">
        <v>42</v>
      </c>
      <c r="Z6" s="4">
        <v>43</v>
      </c>
      <c r="AA6" s="6">
        <v>49</v>
      </c>
      <c r="AB6" s="5">
        <v>51</v>
      </c>
      <c r="AC6" s="4">
        <v>52</v>
      </c>
      <c r="AD6" s="15">
        <v>56</v>
      </c>
      <c r="AE6" s="5">
        <v>60</v>
      </c>
    </row>
    <row r="7" spans="1:31" x14ac:dyDescent="0.3">
      <c r="A7" s="193" t="s">
        <v>164</v>
      </c>
      <c r="B7" s="194"/>
      <c r="C7" s="7"/>
      <c r="D7" s="8">
        <v>1</v>
      </c>
      <c r="E7" s="7">
        <v>2</v>
      </c>
      <c r="F7" s="9">
        <v>2</v>
      </c>
      <c r="G7" s="8">
        <v>3</v>
      </c>
      <c r="H7" s="7">
        <v>4</v>
      </c>
      <c r="I7" s="9">
        <v>4</v>
      </c>
      <c r="J7" s="8">
        <v>5</v>
      </c>
      <c r="K7" s="7">
        <v>6</v>
      </c>
      <c r="L7" s="9">
        <v>6</v>
      </c>
      <c r="M7" s="8">
        <v>7</v>
      </c>
      <c r="N7" s="7">
        <v>8</v>
      </c>
      <c r="O7" s="9">
        <v>8</v>
      </c>
      <c r="P7" s="8">
        <v>9</v>
      </c>
      <c r="Q7" s="7">
        <v>10</v>
      </c>
      <c r="R7" s="9">
        <v>11</v>
      </c>
      <c r="S7" s="8">
        <v>13</v>
      </c>
      <c r="T7" s="7">
        <v>14</v>
      </c>
      <c r="U7" s="9">
        <v>15</v>
      </c>
      <c r="V7" s="8">
        <v>17</v>
      </c>
      <c r="W7" s="7">
        <v>18</v>
      </c>
      <c r="X7" s="9">
        <v>20</v>
      </c>
      <c r="Y7" s="8">
        <v>22</v>
      </c>
      <c r="Z7" s="7">
        <v>23</v>
      </c>
      <c r="AA7" s="9">
        <v>26</v>
      </c>
      <c r="AB7" s="8">
        <v>27</v>
      </c>
      <c r="AC7" s="7">
        <v>28</v>
      </c>
      <c r="AD7" s="16">
        <v>30</v>
      </c>
      <c r="AE7" s="8">
        <v>34</v>
      </c>
    </row>
    <row r="8" spans="1:31" ht="17.25" thickBot="1" x14ac:dyDescent="0.35">
      <c r="A8" s="186" t="s">
        <v>165</v>
      </c>
      <c r="B8" s="187"/>
      <c r="C8" s="10"/>
      <c r="D8" s="11">
        <v>1</v>
      </c>
      <c r="E8" s="10">
        <v>1</v>
      </c>
      <c r="F8" s="12">
        <v>1</v>
      </c>
      <c r="G8" s="11">
        <v>2</v>
      </c>
      <c r="H8" s="10">
        <v>2</v>
      </c>
      <c r="I8" s="12">
        <v>2</v>
      </c>
      <c r="J8" s="11">
        <v>3</v>
      </c>
      <c r="K8" s="10">
        <v>4</v>
      </c>
      <c r="L8" s="12">
        <v>4</v>
      </c>
      <c r="M8" s="11">
        <v>5</v>
      </c>
      <c r="N8" s="10">
        <v>6</v>
      </c>
      <c r="O8" s="12">
        <v>6</v>
      </c>
      <c r="P8" s="11">
        <v>7</v>
      </c>
      <c r="Q8" s="10">
        <v>8</v>
      </c>
      <c r="R8" s="12">
        <v>8</v>
      </c>
      <c r="S8" s="11">
        <v>9</v>
      </c>
      <c r="T8" s="10">
        <v>10</v>
      </c>
      <c r="U8" s="12">
        <v>11</v>
      </c>
      <c r="V8" s="11">
        <v>12</v>
      </c>
      <c r="W8" s="10">
        <v>13</v>
      </c>
      <c r="X8" s="12">
        <v>14</v>
      </c>
      <c r="Y8" s="11">
        <v>15</v>
      </c>
      <c r="Z8" s="10">
        <v>16</v>
      </c>
      <c r="AA8" s="12">
        <v>17</v>
      </c>
      <c r="AB8" s="11">
        <v>20</v>
      </c>
      <c r="AC8" s="10">
        <v>21</v>
      </c>
      <c r="AD8" s="17">
        <v>22</v>
      </c>
      <c r="AE8" s="11">
        <v>26</v>
      </c>
    </row>
    <row r="10" spans="1:31" x14ac:dyDescent="0.3">
      <c r="A10" t="s">
        <v>14</v>
      </c>
    </row>
    <row r="11" spans="1:31" x14ac:dyDescent="0.3">
      <c r="A11" t="s">
        <v>220</v>
      </c>
    </row>
    <row r="13" spans="1:31" x14ac:dyDescent="0.3">
      <c r="A13" s="182" t="s">
        <v>15</v>
      </c>
      <c r="B13" s="182"/>
      <c r="C13" s="182"/>
      <c r="D13" s="182"/>
      <c r="E13" s="182"/>
      <c r="F13" s="182"/>
      <c r="G13" s="182"/>
      <c r="H13" s="182"/>
      <c r="I13" s="182"/>
    </row>
    <row r="14" spans="1:31" x14ac:dyDescent="0.3">
      <c r="A14" s="182"/>
      <c r="B14" s="182"/>
      <c r="C14" s="182"/>
      <c r="D14" s="182"/>
      <c r="E14" s="182"/>
      <c r="F14" s="182"/>
      <c r="G14" s="182"/>
      <c r="H14" s="182"/>
      <c r="I14" s="182"/>
    </row>
    <row r="16" spans="1:31" x14ac:dyDescent="0.3">
      <c r="A16" s="13" t="s">
        <v>16</v>
      </c>
      <c r="B16" s="13" t="s">
        <v>17</v>
      </c>
      <c r="C16" s="13" t="s">
        <v>18</v>
      </c>
      <c r="D16" s="13" t="s">
        <v>19</v>
      </c>
      <c r="E16" s="13" t="s">
        <v>20</v>
      </c>
      <c r="F16" s="13" t="s">
        <v>21</v>
      </c>
      <c r="G16" s="13" t="s">
        <v>22</v>
      </c>
      <c r="H16" s="13" t="s">
        <v>23</v>
      </c>
      <c r="I16" s="13" t="s">
        <v>24</v>
      </c>
    </row>
    <row r="17" spans="1:14" x14ac:dyDescent="0.3">
      <c r="A17" s="13">
        <v>150</v>
      </c>
      <c r="B17" s="13">
        <v>450</v>
      </c>
      <c r="C17" s="13">
        <v>960</v>
      </c>
      <c r="D17" s="13">
        <v>1740</v>
      </c>
      <c r="E17" s="13">
        <v>2850</v>
      </c>
      <c r="F17" s="13">
        <v>4350</v>
      </c>
      <c r="G17" s="13">
        <v>6450</v>
      </c>
      <c r="H17" s="13">
        <v>9450</v>
      </c>
      <c r="I17" s="13">
        <v>12450</v>
      </c>
    </row>
    <row r="19" spans="1:14" x14ac:dyDescent="0.3">
      <c r="A19" t="s">
        <v>25</v>
      </c>
    </row>
    <row r="21" spans="1:14" x14ac:dyDescent="0.3">
      <c r="A21" t="s">
        <v>26</v>
      </c>
    </row>
    <row r="22" spans="1:14" x14ac:dyDescent="0.3">
      <c r="A22" t="s">
        <v>27</v>
      </c>
    </row>
    <row r="24" spans="1:14" x14ac:dyDescent="0.3">
      <c r="A24" s="182" t="s">
        <v>41</v>
      </c>
      <c r="B24" s="182"/>
      <c r="C24" s="182"/>
      <c r="D24" s="182"/>
      <c r="E24" s="182"/>
      <c r="F24" s="182"/>
      <c r="G24" s="182"/>
      <c r="H24" s="182"/>
      <c r="I24" s="182"/>
      <c r="J24" s="182"/>
      <c r="K24" s="182"/>
      <c r="L24" s="182"/>
      <c r="M24" s="182"/>
      <c r="N24" s="182"/>
    </row>
    <row r="25" spans="1:14" x14ac:dyDescent="0.3">
      <c r="A25" s="182"/>
      <c r="B25" s="182"/>
      <c r="C25" s="182"/>
      <c r="D25" s="182"/>
      <c r="E25" s="182"/>
      <c r="F25" s="182"/>
      <c r="G25" s="182"/>
      <c r="H25" s="182"/>
      <c r="I25" s="182"/>
      <c r="J25" s="182"/>
      <c r="K25" s="182"/>
      <c r="L25" s="182"/>
      <c r="M25" s="182"/>
      <c r="N25" s="182"/>
    </row>
    <row r="26" spans="1:14" x14ac:dyDescent="0.3">
      <c r="A26" s="182"/>
      <c r="B26" s="182"/>
      <c r="C26" s="182"/>
      <c r="D26" s="182"/>
      <c r="E26" s="182"/>
      <c r="F26" s="182"/>
      <c r="G26" s="182"/>
      <c r="H26" s="182"/>
      <c r="I26" s="182"/>
      <c r="J26" s="182"/>
      <c r="K26" s="182"/>
      <c r="L26" s="182"/>
      <c r="M26" s="182"/>
      <c r="N26" s="182"/>
    </row>
    <row r="27" spans="1:14" ht="17.25" thickBot="1" x14ac:dyDescent="0.35"/>
    <row r="28" spans="1:14" ht="17.25" thickBot="1" x14ac:dyDescent="0.35">
      <c r="A28" s="26" t="s">
        <v>163</v>
      </c>
      <c r="B28" s="18" t="s">
        <v>28</v>
      </c>
      <c r="C28" s="18" t="s">
        <v>29</v>
      </c>
      <c r="D28" s="19" t="s">
        <v>30</v>
      </c>
      <c r="F28" s="26" t="s">
        <v>164</v>
      </c>
      <c r="G28" s="18" t="s">
        <v>28</v>
      </c>
      <c r="H28" s="18" t="s">
        <v>29</v>
      </c>
      <c r="I28" s="19" t="s">
        <v>30</v>
      </c>
      <c r="K28" s="26" t="s">
        <v>165</v>
      </c>
      <c r="L28" s="18" t="s">
        <v>28</v>
      </c>
      <c r="M28" s="18" t="s">
        <v>29</v>
      </c>
      <c r="N28" s="19" t="s">
        <v>30</v>
      </c>
    </row>
    <row r="29" spans="1:14" ht="17.25" thickBot="1" x14ac:dyDescent="0.35">
      <c r="A29" s="20">
        <v>1</v>
      </c>
      <c r="B29" s="21">
        <v>5000</v>
      </c>
      <c r="C29" s="21">
        <v>10500</v>
      </c>
      <c r="D29" s="21">
        <f>C29-B29</f>
        <v>5500</v>
      </c>
      <c r="F29" s="20">
        <v>1</v>
      </c>
      <c r="G29" s="21">
        <v>5000</v>
      </c>
      <c r="H29" s="21">
        <v>11720</v>
      </c>
      <c r="I29" s="21">
        <f>H29-G29</f>
        <v>6720</v>
      </c>
      <c r="K29" s="20">
        <v>1</v>
      </c>
      <c r="L29" s="21">
        <v>5000</v>
      </c>
      <c r="M29" s="21">
        <v>1300</v>
      </c>
      <c r="N29" s="21">
        <f>M29-L29</f>
        <v>-3700</v>
      </c>
    </row>
    <row r="30" spans="1:14" ht="17.25" thickBot="1" x14ac:dyDescent="0.35">
      <c r="A30" s="22">
        <v>2</v>
      </c>
      <c r="B30" s="23">
        <f>C29</f>
        <v>10500</v>
      </c>
      <c r="C30" s="23">
        <v>16550</v>
      </c>
      <c r="D30" s="23">
        <f t="shared" ref="D30:D49" si="0">C30-B30</f>
        <v>6050</v>
      </c>
      <c r="F30" s="22">
        <v>2</v>
      </c>
      <c r="G30" s="23">
        <f>H29</f>
        <v>11720</v>
      </c>
      <c r="H30" s="23">
        <v>19250</v>
      </c>
      <c r="I30" s="23">
        <f t="shared" ref="I30:I45" si="1">H30-G30</f>
        <v>7530</v>
      </c>
      <c r="K30" s="22">
        <v>2</v>
      </c>
      <c r="L30" s="23">
        <f>M29</f>
        <v>1300</v>
      </c>
      <c r="M30" s="23">
        <v>22100</v>
      </c>
      <c r="N30" s="23">
        <f t="shared" ref="N30:N43" si="2">M30-L30</f>
        <v>20800</v>
      </c>
    </row>
    <row r="31" spans="1:14" ht="17.25" thickBot="1" x14ac:dyDescent="0.35">
      <c r="A31" s="20">
        <v>3</v>
      </c>
      <c r="B31" s="21">
        <f t="shared" ref="B31:B49" si="3">C30</f>
        <v>16550</v>
      </c>
      <c r="C31" s="21">
        <v>23200</v>
      </c>
      <c r="D31" s="21">
        <f t="shared" si="0"/>
        <v>6650</v>
      </c>
      <c r="F31" s="20">
        <v>3</v>
      </c>
      <c r="G31" s="21">
        <f t="shared" ref="G31:G45" si="4">H30</f>
        <v>19250</v>
      </c>
      <c r="H31" s="21">
        <v>27700</v>
      </c>
      <c r="I31" s="21">
        <f t="shared" si="1"/>
        <v>8450</v>
      </c>
      <c r="K31" s="20">
        <v>3</v>
      </c>
      <c r="L31" s="21">
        <f t="shared" ref="L31:L43" si="5">M30</f>
        <v>22100</v>
      </c>
      <c r="M31" s="21">
        <v>32450</v>
      </c>
      <c r="N31" s="21">
        <f t="shared" si="2"/>
        <v>10350</v>
      </c>
    </row>
    <row r="32" spans="1:14" ht="17.25" thickBot="1" x14ac:dyDescent="0.35">
      <c r="A32" s="22">
        <v>4</v>
      </c>
      <c r="B32" s="23">
        <f t="shared" si="3"/>
        <v>23200</v>
      </c>
      <c r="C32" s="23">
        <v>30550</v>
      </c>
      <c r="D32" s="23">
        <f t="shared" si="0"/>
        <v>7350</v>
      </c>
      <c r="F32" s="22">
        <v>4</v>
      </c>
      <c r="G32" s="23">
        <f t="shared" si="4"/>
        <v>27700</v>
      </c>
      <c r="H32" s="23">
        <v>37150</v>
      </c>
      <c r="I32" s="23">
        <f t="shared" si="1"/>
        <v>9450</v>
      </c>
      <c r="K32" s="22">
        <v>4</v>
      </c>
      <c r="L32" s="23">
        <f t="shared" si="5"/>
        <v>32450</v>
      </c>
      <c r="M32" s="23">
        <v>44300</v>
      </c>
      <c r="N32" s="23">
        <f t="shared" si="2"/>
        <v>11850</v>
      </c>
    </row>
    <row r="33" spans="1:14" ht="17.25" thickBot="1" x14ac:dyDescent="0.35">
      <c r="A33" s="20">
        <v>5</v>
      </c>
      <c r="B33" s="21">
        <f t="shared" si="3"/>
        <v>30550</v>
      </c>
      <c r="C33" s="21">
        <v>38600</v>
      </c>
      <c r="D33" s="21">
        <f t="shared" si="0"/>
        <v>8050</v>
      </c>
      <c r="F33" s="20">
        <v>5</v>
      </c>
      <c r="G33" s="21">
        <f t="shared" si="4"/>
        <v>37150</v>
      </c>
      <c r="H33" s="21">
        <v>47700</v>
      </c>
      <c r="I33" s="21">
        <f t="shared" si="1"/>
        <v>10550</v>
      </c>
      <c r="K33" s="20">
        <v>5</v>
      </c>
      <c r="L33" s="21">
        <f t="shared" si="5"/>
        <v>44300</v>
      </c>
      <c r="M33" s="21">
        <v>57750</v>
      </c>
      <c r="N33" s="21">
        <f t="shared" si="2"/>
        <v>13450</v>
      </c>
    </row>
    <row r="34" spans="1:14" ht="17.25" thickBot="1" x14ac:dyDescent="0.35">
      <c r="A34" s="22">
        <v>6</v>
      </c>
      <c r="B34" s="23">
        <f t="shared" si="3"/>
        <v>38600</v>
      </c>
      <c r="C34" s="23">
        <v>47450</v>
      </c>
      <c r="D34" s="23">
        <f t="shared" si="0"/>
        <v>8850</v>
      </c>
      <c r="F34" s="22">
        <v>6</v>
      </c>
      <c r="G34" s="23">
        <f t="shared" si="4"/>
        <v>47700</v>
      </c>
      <c r="H34" s="23">
        <v>59550</v>
      </c>
      <c r="I34" s="23">
        <f t="shared" si="1"/>
        <v>11850</v>
      </c>
      <c r="K34" s="22">
        <v>6</v>
      </c>
      <c r="L34" s="23">
        <f t="shared" si="5"/>
        <v>57750</v>
      </c>
      <c r="M34" s="23">
        <v>73150</v>
      </c>
      <c r="N34" s="23">
        <f t="shared" si="2"/>
        <v>15400</v>
      </c>
    </row>
    <row r="35" spans="1:14" ht="17.25" thickBot="1" x14ac:dyDescent="0.35">
      <c r="A35" s="20">
        <v>7</v>
      </c>
      <c r="B35" s="21">
        <f t="shared" si="3"/>
        <v>47450</v>
      </c>
      <c r="C35" s="21">
        <v>57200</v>
      </c>
      <c r="D35" s="21">
        <f t="shared" si="0"/>
        <v>9750</v>
      </c>
      <c r="F35" s="20">
        <v>7</v>
      </c>
      <c r="G35" s="21">
        <f t="shared" si="4"/>
        <v>59550</v>
      </c>
      <c r="H35" s="21">
        <v>72800</v>
      </c>
      <c r="I35" s="21">
        <f t="shared" si="1"/>
        <v>13250</v>
      </c>
      <c r="K35" s="20">
        <v>7</v>
      </c>
      <c r="L35" s="21">
        <f t="shared" si="5"/>
        <v>73150</v>
      </c>
      <c r="M35" s="21">
        <v>90650</v>
      </c>
      <c r="N35" s="21">
        <f t="shared" si="2"/>
        <v>17500</v>
      </c>
    </row>
    <row r="36" spans="1:14" ht="17.25" thickBot="1" x14ac:dyDescent="0.35">
      <c r="A36" s="22">
        <v>8</v>
      </c>
      <c r="B36" s="23">
        <f t="shared" si="3"/>
        <v>57200</v>
      </c>
      <c r="C36" s="23">
        <v>67900</v>
      </c>
      <c r="D36" s="23">
        <f t="shared" si="0"/>
        <v>10700</v>
      </c>
      <c r="F36" s="22">
        <v>8</v>
      </c>
      <c r="G36" s="23">
        <f t="shared" si="4"/>
        <v>72800</v>
      </c>
      <c r="H36" s="23">
        <v>87650</v>
      </c>
      <c r="I36" s="23">
        <f t="shared" si="1"/>
        <v>14850</v>
      </c>
      <c r="K36" s="22">
        <v>8</v>
      </c>
      <c r="L36" s="23">
        <f t="shared" si="5"/>
        <v>90650</v>
      </c>
      <c r="M36" s="23">
        <v>110600</v>
      </c>
      <c r="N36" s="23">
        <f t="shared" si="2"/>
        <v>19950</v>
      </c>
    </row>
    <row r="37" spans="1:14" ht="17.25" thickBot="1" x14ac:dyDescent="0.35">
      <c r="A37" s="20">
        <v>9</v>
      </c>
      <c r="B37" s="21">
        <f t="shared" si="3"/>
        <v>67900</v>
      </c>
      <c r="C37" s="21">
        <v>79700</v>
      </c>
      <c r="D37" s="21">
        <f t="shared" si="0"/>
        <v>11800</v>
      </c>
      <c r="F37" s="20">
        <v>9</v>
      </c>
      <c r="G37" s="21">
        <f t="shared" si="4"/>
        <v>87650</v>
      </c>
      <c r="H37" s="21">
        <v>104300</v>
      </c>
      <c r="I37" s="21">
        <f t="shared" si="1"/>
        <v>16650</v>
      </c>
      <c r="K37" s="20">
        <v>9</v>
      </c>
      <c r="L37" s="21">
        <f t="shared" si="5"/>
        <v>110600</v>
      </c>
      <c r="M37" s="21">
        <v>133400</v>
      </c>
      <c r="N37" s="21">
        <f t="shared" si="2"/>
        <v>22800</v>
      </c>
    </row>
    <row r="38" spans="1:14" ht="17.25" thickBot="1" x14ac:dyDescent="0.35">
      <c r="A38" s="22">
        <v>10</v>
      </c>
      <c r="B38" s="23">
        <f t="shared" si="3"/>
        <v>79700</v>
      </c>
      <c r="C38" s="23">
        <v>92700</v>
      </c>
      <c r="D38" s="23">
        <f t="shared" si="0"/>
        <v>13000</v>
      </c>
      <c r="F38" s="22">
        <v>10</v>
      </c>
      <c r="G38" s="23">
        <f t="shared" si="4"/>
        <v>104300</v>
      </c>
      <c r="H38" s="23">
        <v>122950</v>
      </c>
      <c r="I38" s="23">
        <f t="shared" si="1"/>
        <v>18650</v>
      </c>
      <c r="K38" s="22">
        <v>10</v>
      </c>
      <c r="L38" s="23">
        <f t="shared" si="5"/>
        <v>133400</v>
      </c>
      <c r="M38" s="23">
        <v>159350</v>
      </c>
      <c r="N38" s="23">
        <f t="shared" si="2"/>
        <v>25950</v>
      </c>
    </row>
    <row r="39" spans="1:14" ht="17.25" thickBot="1" x14ac:dyDescent="0.35">
      <c r="A39" s="20">
        <v>11</v>
      </c>
      <c r="B39" s="21">
        <f t="shared" si="3"/>
        <v>92700</v>
      </c>
      <c r="C39" s="21">
        <v>106950</v>
      </c>
      <c r="D39" s="21">
        <f t="shared" si="0"/>
        <v>14250</v>
      </c>
      <c r="F39" s="20">
        <v>11</v>
      </c>
      <c r="G39" s="21">
        <f t="shared" si="4"/>
        <v>122950</v>
      </c>
      <c r="H39" s="21">
        <v>143800</v>
      </c>
      <c r="I39" s="21">
        <f t="shared" si="1"/>
        <v>20850</v>
      </c>
      <c r="K39" s="20">
        <v>11</v>
      </c>
      <c r="L39" s="21">
        <f t="shared" si="5"/>
        <v>159350</v>
      </c>
      <c r="M39" s="21">
        <v>188900</v>
      </c>
      <c r="N39" s="21">
        <f t="shared" si="2"/>
        <v>29550</v>
      </c>
    </row>
    <row r="40" spans="1:14" ht="17.25" thickBot="1" x14ac:dyDescent="0.35">
      <c r="A40" s="22">
        <v>12</v>
      </c>
      <c r="B40" s="23">
        <f t="shared" si="3"/>
        <v>106950</v>
      </c>
      <c r="C40" s="23">
        <v>122650</v>
      </c>
      <c r="D40" s="23">
        <f t="shared" si="0"/>
        <v>15700</v>
      </c>
      <c r="F40" s="22">
        <v>12</v>
      </c>
      <c r="G40" s="23">
        <f t="shared" si="4"/>
        <v>143800</v>
      </c>
      <c r="H40" s="23">
        <v>167200</v>
      </c>
      <c r="I40" s="23">
        <f t="shared" si="1"/>
        <v>23400</v>
      </c>
      <c r="K40" s="22">
        <v>12</v>
      </c>
      <c r="L40" s="23">
        <f t="shared" si="5"/>
        <v>188900</v>
      </c>
      <c r="M40" s="23">
        <v>222660</v>
      </c>
      <c r="N40" s="23">
        <f t="shared" si="2"/>
        <v>33760</v>
      </c>
    </row>
    <row r="41" spans="1:14" ht="17.25" thickBot="1" x14ac:dyDescent="0.35">
      <c r="A41" s="20">
        <v>13</v>
      </c>
      <c r="B41" s="21">
        <f t="shared" si="3"/>
        <v>122650</v>
      </c>
      <c r="C41" s="21">
        <v>139900</v>
      </c>
      <c r="D41" s="21">
        <f t="shared" si="0"/>
        <v>17250</v>
      </c>
      <c r="F41" s="20">
        <v>13</v>
      </c>
      <c r="G41" s="21">
        <f t="shared" si="4"/>
        <v>167200</v>
      </c>
      <c r="H41" s="21">
        <v>193400</v>
      </c>
      <c r="I41" s="21">
        <f t="shared" si="1"/>
        <v>26200</v>
      </c>
      <c r="K41" s="20">
        <v>13</v>
      </c>
      <c r="L41" s="21">
        <f t="shared" si="5"/>
        <v>222660</v>
      </c>
      <c r="M41" s="21">
        <v>261100</v>
      </c>
      <c r="N41" s="21">
        <f t="shared" si="2"/>
        <v>38440</v>
      </c>
    </row>
    <row r="42" spans="1:14" ht="17.25" thickBot="1" x14ac:dyDescent="0.35">
      <c r="A42" s="22">
        <v>14</v>
      </c>
      <c r="B42" s="23">
        <f t="shared" si="3"/>
        <v>139900</v>
      </c>
      <c r="C42" s="23">
        <v>158900</v>
      </c>
      <c r="D42" s="23">
        <f t="shared" si="0"/>
        <v>19000</v>
      </c>
      <c r="F42" s="22">
        <v>14</v>
      </c>
      <c r="G42" s="23">
        <f t="shared" si="4"/>
        <v>193400</v>
      </c>
      <c r="H42" s="23">
        <v>222700</v>
      </c>
      <c r="I42" s="23">
        <f t="shared" si="1"/>
        <v>29300</v>
      </c>
      <c r="K42" s="22">
        <v>14</v>
      </c>
      <c r="L42" s="23">
        <f t="shared" si="5"/>
        <v>261100</v>
      </c>
      <c r="M42" s="23">
        <v>304900</v>
      </c>
      <c r="N42" s="23">
        <f t="shared" si="2"/>
        <v>43800</v>
      </c>
    </row>
    <row r="43" spans="1:14" ht="17.25" thickBot="1" x14ac:dyDescent="0.35">
      <c r="A43" s="20">
        <v>15</v>
      </c>
      <c r="B43" s="21">
        <f t="shared" si="3"/>
        <v>158900</v>
      </c>
      <c r="C43" s="21">
        <v>179750</v>
      </c>
      <c r="D43" s="21">
        <f t="shared" si="0"/>
        <v>20850</v>
      </c>
      <c r="F43" s="20">
        <v>15</v>
      </c>
      <c r="G43" s="21">
        <f t="shared" si="4"/>
        <v>222700</v>
      </c>
      <c r="H43" s="21">
        <v>255550</v>
      </c>
      <c r="I43" s="21">
        <f t="shared" si="1"/>
        <v>32850</v>
      </c>
      <c r="K43" s="24">
        <v>15</v>
      </c>
      <c r="L43" s="25">
        <f t="shared" si="5"/>
        <v>304900</v>
      </c>
      <c r="M43" s="25">
        <v>354900</v>
      </c>
      <c r="N43" s="25">
        <f t="shared" si="2"/>
        <v>50000</v>
      </c>
    </row>
    <row r="44" spans="1:14" ht="17.25" thickBot="1" x14ac:dyDescent="0.35">
      <c r="A44" s="22">
        <v>16</v>
      </c>
      <c r="B44" s="23">
        <f t="shared" si="3"/>
        <v>179750</v>
      </c>
      <c r="C44" s="23">
        <v>202750</v>
      </c>
      <c r="D44" s="23">
        <f t="shared" si="0"/>
        <v>23000</v>
      </c>
      <c r="F44" s="22">
        <v>16</v>
      </c>
      <c r="G44" s="23">
        <f t="shared" si="4"/>
        <v>255550</v>
      </c>
      <c r="H44" s="23">
        <v>292300</v>
      </c>
      <c r="I44" s="23">
        <f t="shared" si="1"/>
        <v>36750</v>
      </c>
    </row>
    <row r="45" spans="1:14" ht="17.25" thickBot="1" x14ac:dyDescent="0.35">
      <c r="A45" s="20">
        <v>17</v>
      </c>
      <c r="B45" s="21">
        <f t="shared" si="3"/>
        <v>202750</v>
      </c>
      <c r="C45" s="21">
        <v>228000</v>
      </c>
      <c r="D45" s="21">
        <f t="shared" si="0"/>
        <v>25250</v>
      </c>
      <c r="F45" s="24">
        <v>17</v>
      </c>
      <c r="G45" s="25">
        <f t="shared" si="4"/>
        <v>292300</v>
      </c>
      <c r="H45" s="25">
        <v>333500</v>
      </c>
      <c r="I45" s="25">
        <f t="shared" si="1"/>
        <v>41200</v>
      </c>
    </row>
    <row r="46" spans="1:14" ht="17.25" thickBot="1" x14ac:dyDescent="0.35">
      <c r="A46" s="22">
        <v>18</v>
      </c>
      <c r="B46" s="23">
        <f t="shared" si="3"/>
        <v>228000</v>
      </c>
      <c r="C46" s="23">
        <v>255800</v>
      </c>
      <c r="D46" s="23">
        <f t="shared" si="0"/>
        <v>27800</v>
      </c>
    </row>
    <row r="47" spans="1:14" ht="17.25" thickBot="1" x14ac:dyDescent="0.35">
      <c r="A47" s="20">
        <v>19</v>
      </c>
      <c r="B47" s="21">
        <f t="shared" si="3"/>
        <v>255800</v>
      </c>
      <c r="C47" s="21">
        <v>286400</v>
      </c>
      <c r="D47" s="21">
        <f t="shared" si="0"/>
        <v>30600</v>
      </c>
    </row>
    <row r="48" spans="1:14" ht="17.25" thickBot="1" x14ac:dyDescent="0.35">
      <c r="A48" s="22">
        <v>20</v>
      </c>
      <c r="B48" s="23">
        <f t="shared" si="3"/>
        <v>286400</v>
      </c>
      <c r="C48" s="23">
        <v>320000</v>
      </c>
      <c r="D48" s="23">
        <f t="shared" si="0"/>
        <v>33600</v>
      </c>
    </row>
    <row r="49" spans="1:4" ht="17.25" thickBot="1" x14ac:dyDescent="0.35">
      <c r="A49" s="24">
        <v>21</v>
      </c>
      <c r="B49" s="25">
        <f t="shared" si="3"/>
        <v>320000</v>
      </c>
      <c r="C49" s="25">
        <v>357000</v>
      </c>
      <c r="D49" s="25">
        <f t="shared" si="0"/>
        <v>37000</v>
      </c>
    </row>
    <row r="52" spans="1:4" x14ac:dyDescent="0.3">
      <c r="A52" t="s">
        <v>31</v>
      </c>
    </row>
    <row r="53" spans="1:4" x14ac:dyDescent="0.3">
      <c r="A53" t="s">
        <v>32</v>
      </c>
    </row>
    <row r="55" spans="1:4" x14ac:dyDescent="0.3">
      <c r="A55" t="s">
        <v>39</v>
      </c>
    </row>
    <row r="57" spans="1:4" x14ac:dyDescent="0.3">
      <c r="A57" t="s">
        <v>40</v>
      </c>
    </row>
    <row r="58" spans="1:4" x14ac:dyDescent="0.3">
      <c r="A58" t="s">
        <v>221</v>
      </c>
    </row>
    <row r="59" spans="1:4" x14ac:dyDescent="0.3">
      <c r="A59" t="s">
        <v>222</v>
      </c>
    </row>
    <row r="60" spans="1:4" x14ac:dyDescent="0.3">
      <c r="A60" t="s">
        <v>35</v>
      </c>
    </row>
    <row r="61" spans="1:4" x14ac:dyDescent="0.3">
      <c r="A61" t="s">
        <v>36</v>
      </c>
    </row>
    <row r="62" spans="1:4" x14ac:dyDescent="0.3">
      <c r="A62" t="s">
        <v>37</v>
      </c>
    </row>
    <row r="63" spans="1:4" x14ac:dyDescent="0.3">
      <c r="A63" t="s">
        <v>38</v>
      </c>
    </row>
    <row r="64" spans="1:4" x14ac:dyDescent="0.3">
      <c r="A64" t="s">
        <v>42</v>
      </c>
    </row>
    <row r="66" spans="1:1" x14ac:dyDescent="0.3">
      <c r="A66" t="s">
        <v>43</v>
      </c>
    </row>
  </sheetData>
  <mergeCells count="18">
    <mergeCell ref="Z4:AB4"/>
    <mergeCell ref="AC4:AE4"/>
    <mergeCell ref="W4:Y4"/>
    <mergeCell ref="A13:I14"/>
    <mergeCell ref="A24:N26"/>
    <mergeCell ref="A6:B6"/>
    <mergeCell ref="A7:B7"/>
    <mergeCell ref="A8:B8"/>
    <mergeCell ref="A1:V2"/>
    <mergeCell ref="A3:B3"/>
    <mergeCell ref="N4:P4"/>
    <mergeCell ref="A4:B5"/>
    <mergeCell ref="C4:D4"/>
    <mergeCell ref="E4:G4"/>
    <mergeCell ref="H4:J4"/>
    <mergeCell ref="K4:M4"/>
    <mergeCell ref="Q4:S4"/>
    <mergeCell ref="T4:V4"/>
  </mergeCells>
  <phoneticPr fontId="1" type="noConversion"/>
  <pageMargins left="0.25" right="0.25" top="0.75" bottom="0.75" header="0.3" footer="0.3"/>
  <pageSetup paperSize="9" orientation="landscape" horizont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336B-A6D4-45CF-934B-DB520693C60D}">
  <dimension ref="B1:L46"/>
  <sheetViews>
    <sheetView workbookViewId="0">
      <selection activeCell="C15" sqref="C15"/>
    </sheetView>
  </sheetViews>
  <sheetFormatPr defaultRowHeight="16.5" x14ac:dyDescent="0.3"/>
  <cols>
    <col min="2" max="2" width="10.625" bestFit="1" customWidth="1"/>
    <col min="3" max="3" width="13.5" customWidth="1"/>
    <col min="4" max="4" width="13.875" customWidth="1"/>
    <col min="5" max="5" width="14.375" bestFit="1" customWidth="1"/>
    <col min="6" max="6" width="14.375" customWidth="1"/>
    <col min="7" max="7" width="16.875" customWidth="1"/>
  </cols>
  <sheetData>
    <row r="1" spans="2:7" x14ac:dyDescent="0.3">
      <c r="B1" s="182" t="s">
        <v>44</v>
      </c>
      <c r="C1" s="182"/>
      <c r="D1" s="182"/>
      <c r="E1" s="182"/>
      <c r="F1" s="182"/>
      <c r="G1" s="182"/>
    </row>
    <row r="2" spans="2:7" x14ac:dyDescent="0.3">
      <c r="B2" s="182"/>
      <c r="C2" s="182"/>
      <c r="D2" s="182"/>
      <c r="E2" s="182"/>
      <c r="F2" s="182"/>
      <c r="G2" s="182"/>
    </row>
    <row r="3" spans="2:7" x14ac:dyDescent="0.3">
      <c r="B3" s="182"/>
      <c r="C3" s="182"/>
      <c r="D3" s="182"/>
      <c r="E3" s="182"/>
      <c r="F3" s="182"/>
      <c r="G3" s="182"/>
    </row>
    <row r="4" spans="2:7" x14ac:dyDescent="0.3">
      <c r="B4" s="27"/>
      <c r="C4" s="27"/>
      <c r="D4" s="27" t="s">
        <v>71</v>
      </c>
      <c r="E4" s="27"/>
      <c r="F4" s="27"/>
      <c r="G4" s="27"/>
    </row>
    <row r="5" spans="2:7" x14ac:dyDescent="0.3">
      <c r="B5" s="31" t="s">
        <v>58</v>
      </c>
      <c r="C5" s="182" t="s">
        <v>72</v>
      </c>
      <c r="D5" s="27" t="s">
        <v>59</v>
      </c>
      <c r="E5" s="28" t="s">
        <v>62</v>
      </c>
      <c r="F5" s="27"/>
      <c r="G5" s="27"/>
    </row>
    <row r="6" spans="2:7" x14ac:dyDescent="0.3">
      <c r="B6" s="31" t="s">
        <v>54</v>
      </c>
      <c r="C6" s="182"/>
      <c r="D6" s="27" t="s">
        <v>60</v>
      </c>
      <c r="E6" s="28" t="s">
        <v>61</v>
      </c>
      <c r="F6" s="27"/>
      <c r="G6" s="27"/>
    </row>
    <row r="7" spans="2:7" x14ac:dyDescent="0.3">
      <c r="B7" s="31" t="s">
        <v>55</v>
      </c>
      <c r="C7" s="182"/>
      <c r="D7" s="27" t="s">
        <v>70</v>
      </c>
      <c r="E7" s="28" t="s">
        <v>63</v>
      </c>
      <c r="F7" s="27"/>
      <c r="G7" s="27"/>
    </row>
    <row r="8" spans="2:7" x14ac:dyDescent="0.3">
      <c r="B8" s="31" t="s">
        <v>66</v>
      </c>
      <c r="C8" s="182"/>
      <c r="D8" s="29" t="s">
        <v>64</v>
      </c>
      <c r="E8" s="28" t="s">
        <v>67</v>
      </c>
      <c r="F8" s="29"/>
      <c r="G8" s="29"/>
    </row>
    <row r="9" spans="2:7" x14ac:dyDescent="0.3">
      <c r="B9" s="27" t="s">
        <v>65</v>
      </c>
      <c r="C9" s="182"/>
      <c r="D9" s="27" t="s">
        <v>60</v>
      </c>
      <c r="E9" s="28" t="s">
        <v>61</v>
      </c>
      <c r="F9" s="27"/>
      <c r="G9" s="27"/>
    </row>
    <row r="10" spans="2:7" x14ac:dyDescent="0.3">
      <c r="B10" s="27" t="s">
        <v>68</v>
      </c>
      <c r="C10" s="182"/>
      <c r="D10" s="27" t="s">
        <v>69</v>
      </c>
      <c r="E10" s="28" t="s">
        <v>63</v>
      </c>
      <c r="F10" s="27"/>
      <c r="G10" s="27"/>
    </row>
    <row r="11" spans="2:7" x14ac:dyDescent="0.3">
      <c r="B11" s="27"/>
      <c r="C11" s="27"/>
      <c r="D11" s="27"/>
      <c r="E11" s="27"/>
      <c r="F11" s="27"/>
      <c r="G11" s="27"/>
    </row>
    <row r="12" spans="2:7" x14ac:dyDescent="0.3">
      <c r="B12" s="27"/>
      <c r="C12" s="27"/>
      <c r="D12" s="27"/>
      <c r="E12" s="27"/>
      <c r="F12" s="27"/>
      <c r="G12" s="27"/>
    </row>
    <row r="13" spans="2:7" x14ac:dyDescent="0.3">
      <c r="B13" s="27"/>
      <c r="C13" s="27"/>
      <c r="D13" s="27"/>
      <c r="E13" s="27"/>
      <c r="F13" s="27"/>
      <c r="G13" s="27"/>
    </row>
    <row r="14" spans="2:7" x14ac:dyDescent="0.3">
      <c r="B14" s="27"/>
      <c r="C14" s="27"/>
      <c r="D14" s="27"/>
      <c r="E14" s="27"/>
      <c r="F14" s="27"/>
      <c r="G14" s="27"/>
    </row>
    <row r="15" spans="2:7" x14ac:dyDescent="0.3">
      <c r="B15" s="27"/>
      <c r="C15" s="27"/>
      <c r="D15" s="27"/>
      <c r="E15" s="27"/>
      <c r="F15" s="27"/>
      <c r="G15" s="27"/>
    </row>
    <row r="16" spans="2:7" ht="16.5" customHeight="1" thickBot="1" x14ac:dyDescent="0.35">
      <c r="C16" t="s">
        <v>73</v>
      </c>
    </row>
    <row r="17" spans="2:12" ht="16.5" customHeight="1" x14ac:dyDescent="0.3">
      <c r="B17" s="195" t="s">
        <v>33</v>
      </c>
      <c r="C17" s="197" t="s">
        <v>56</v>
      </c>
      <c r="D17" s="197"/>
      <c r="E17" s="197"/>
      <c r="F17" s="197"/>
      <c r="G17" s="197"/>
    </row>
    <row r="18" spans="2:12" ht="17.25" customHeight="1" x14ac:dyDescent="0.3">
      <c r="B18" s="196"/>
      <c r="C18" s="197"/>
      <c r="D18" s="197"/>
      <c r="E18" s="197"/>
      <c r="F18" s="197"/>
      <c r="G18" s="197"/>
    </row>
    <row r="19" spans="2:12" x14ac:dyDescent="0.3">
      <c r="B19" s="196"/>
      <c r="C19" s="197"/>
      <c r="D19" s="197"/>
      <c r="E19" s="197"/>
      <c r="F19" s="197"/>
      <c r="G19" s="197"/>
    </row>
    <row r="20" spans="2:12" x14ac:dyDescent="0.3">
      <c r="B20" s="196"/>
      <c r="C20" s="197"/>
      <c r="D20" s="197"/>
      <c r="E20" s="197"/>
      <c r="F20" s="197"/>
      <c r="G20" s="197"/>
    </row>
    <row r="21" spans="2:12" x14ac:dyDescent="0.3">
      <c r="B21" s="196"/>
      <c r="C21" s="197"/>
      <c r="D21" s="197"/>
      <c r="E21" s="197"/>
      <c r="F21" s="197"/>
      <c r="G21" s="197"/>
    </row>
    <row r="22" spans="2:12" x14ac:dyDescent="0.3">
      <c r="B22" s="196"/>
      <c r="C22" s="197"/>
      <c r="D22" s="197"/>
      <c r="E22" s="197"/>
      <c r="F22" s="197"/>
      <c r="G22" s="197"/>
      <c r="L22" s="14"/>
    </row>
    <row r="23" spans="2:12" x14ac:dyDescent="0.3">
      <c r="B23" s="196"/>
      <c r="C23" s="197"/>
      <c r="D23" s="197"/>
      <c r="E23" s="197"/>
      <c r="F23" s="197"/>
      <c r="G23" s="197"/>
    </row>
    <row r="24" spans="2:12" x14ac:dyDescent="0.3">
      <c r="B24" s="196"/>
      <c r="C24" s="197"/>
      <c r="D24" s="197"/>
      <c r="E24" s="197"/>
      <c r="F24" s="197"/>
      <c r="G24" s="197"/>
    </row>
    <row r="25" spans="2:12" x14ac:dyDescent="0.3">
      <c r="B25" s="196"/>
      <c r="C25" s="197"/>
      <c r="D25" s="197"/>
      <c r="E25" s="197"/>
      <c r="F25" s="197"/>
      <c r="G25" s="197"/>
    </row>
    <row r="26" spans="2:12" x14ac:dyDescent="0.3">
      <c r="B26" s="196"/>
      <c r="C26" s="197"/>
      <c r="D26" s="197"/>
      <c r="E26" s="197"/>
      <c r="F26" s="197"/>
      <c r="G26" s="197"/>
    </row>
    <row r="27" spans="2:12" x14ac:dyDescent="0.3">
      <c r="B27" s="196"/>
      <c r="C27" s="197"/>
      <c r="D27" s="197"/>
      <c r="E27" s="197"/>
      <c r="F27" s="197"/>
      <c r="G27" s="197"/>
    </row>
    <row r="28" spans="2:12" x14ac:dyDescent="0.3">
      <c r="B28" s="196"/>
      <c r="C28" s="197"/>
      <c r="D28" s="197"/>
      <c r="E28" s="197"/>
      <c r="F28" s="197"/>
      <c r="G28" s="197"/>
    </row>
    <row r="29" spans="2:12" x14ac:dyDescent="0.3">
      <c r="B29" s="196"/>
      <c r="C29" s="197"/>
      <c r="D29" s="197"/>
      <c r="E29" s="197"/>
      <c r="F29" s="197"/>
      <c r="G29" s="197"/>
    </row>
    <row r="30" spans="2:12" x14ac:dyDescent="0.3">
      <c r="B30" s="196"/>
      <c r="C30" s="197"/>
      <c r="D30" s="197"/>
      <c r="E30" s="197"/>
      <c r="F30" s="197"/>
      <c r="G30" s="197"/>
    </row>
    <row r="31" spans="2:12" ht="17.25" thickBot="1" x14ac:dyDescent="0.35">
      <c r="B31" s="196"/>
      <c r="C31" s="197"/>
      <c r="D31" s="197"/>
      <c r="E31" s="197"/>
      <c r="F31" s="197"/>
      <c r="G31" s="197"/>
    </row>
    <row r="32" spans="2:12" ht="16.5" customHeight="1" x14ac:dyDescent="0.3">
      <c r="B32" s="195" t="s">
        <v>34</v>
      </c>
      <c r="C32" s="198" t="s">
        <v>57</v>
      </c>
      <c r="D32" s="198"/>
      <c r="E32" s="198"/>
      <c r="F32" s="198"/>
      <c r="G32" s="198"/>
    </row>
    <row r="33" spans="2:7" ht="16.5" customHeight="1" x14ac:dyDescent="0.3">
      <c r="B33" s="196"/>
      <c r="C33" s="197"/>
      <c r="D33" s="197"/>
      <c r="E33" s="197"/>
      <c r="F33" s="197"/>
      <c r="G33" s="197"/>
    </row>
    <row r="34" spans="2:7" x14ac:dyDescent="0.3">
      <c r="B34" s="196"/>
      <c r="C34" s="197"/>
      <c r="D34" s="197"/>
      <c r="E34" s="197"/>
      <c r="F34" s="197"/>
      <c r="G34" s="197"/>
    </row>
    <row r="35" spans="2:7" x14ac:dyDescent="0.3">
      <c r="B35" s="196"/>
      <c r="C35" s="197"/>
      <c r="D35" s="197"/>
      <c r="E35" s="197"/>
      <c r="F35" s="197"/>
      <c r="G35" s="197"/>
    </row>
    <row r="36" spans="2:7" x14ac:dyDescent="0.3">
      <c r="B36" s="196"/>
      <c r="C36" s="197"/>
      <c r="D36" s="197"/>
      <c r="E36" s="197"/>
      <c r="F36" s="197"/>
      <c r="G36" s="197"/>
    </row>
    <row r="37" spans="2:7" x14ac:dyDescent="0.3">
      <c r="B37" s="196"/>
      <c r="C37" s="197"/>
      <c r="D37" s="197"/>
      <c r="E37" s="197"/>
      <c r="F37" s="197"/>
      <c r="G37" s="197"/>
    </row>
    <row r="38" spans="2:7" x14ac:dyDescent="0.3">
      <c r="B38" s="196"/>
      <c r="C38" s="197"/>
      <c r="D38" s="197"/>
      <c r="E38" s="197"/>
      <c r="F38" s="197"/>
      <c r="G38" s="197"/>
    </row>
    <row r="39" spans="2:7" x14ac:dyDescent="0.3">
      <c r="B39" s="196"/>
      <c r="C39" s="197"/>
      <c r="D39" s="197"/>
      <c r="E39" s="197"/>
      <c r="F39" s="197"/>
      <c r="G39" s="197"/>
    </row>
    <row r="40" spans="2:7" x14ac:dyDescent="0.3">
      <c r="B40" s="196"/>
      <c r="C40" s="197"/>
      <c r="D40" s="197"/>
      <c r="E40" s="197"/>
      <c r="F40" s="197"/>
      <c r="G40" s="197"/>
    </row>
    <row r="41" spans="2:7" x14ac:dyDescent="0.3">
      <c r="B41" s="196"/>
      <c r="C41" s="197"/>
      <c r="D41" s="197"/>
      <c r="E41" s="197"/>
      <c r="F41" s="197"/>
      <c r="G41" s="197"/>
    </row>
    <row r="42" spans="2:7" x14ac:dyDescent="0.3">
      <c r="B42" s="196"/>
      <c r="C42" s="197"/>
      <c r="D42" s="197"/>
      <c r="E42" s="197"/>
      <c r="F42" s="197"/>
      <c r="G42" s="197"/>
    </row>
    <row r="43" spans="2:7" x14ac:dyDescent="0.3">
      <c r="B43" s="196"/>
      <c r="C43" s="197"/>
      <c r="D43" s="197"/>
      <c r="E43" s="197"/>
      <c r="F43" s="197"/>
      <c r="G43" s="197"/>
    </row>
    <row r="44" spans="2:7" x14ac:dyDescent="0.3">
      <c r="B44" s="196"/>
      <c r="C44" s="197"/>
      <c r="D44" s="197"/>
      <c r="E44" s="197"/>
      <c r="F44" s="197"/>
      <c r="G44" s="197"/>
    </row>
    <row r="45" spans="2:7" x14ac:dyDescent="0.3">
      <c r="B45" s="196"/>
      <c r="C45" s="197"/>
      <c r="D45" s="197"/>
      <c r="E45" s="197"/>
      <c r="F45" s="197"/>
      <c r="G45" s="197"/>
    </row>
    <row r="46" spans="2:7" x14ac:dyDescent="0.3">
      <c r="B46" s="196"/>
      <c r="C46" s="197"/>
      <c r="D46" s="197"/>
      <c r="E46" s="197"/>
      <c r="F46" s="197"/>
      <c r="G46" s="197"/>
    </row>
  </sheetData>
  <mergeCells count="6">
    <mergeCell ref="B1:G3"/>
    <mergeCell ref="B17:B31"/>
    <mergeCell ref="C17:G31"/>
    <mergeCell ref="B32:B46"/>
    <mergeCell ref="C32:G46"/>
    <mergeCell ref="C5:C10"/>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FA32-5F46-4171-9FA0-6C7EDD25B78F}">
  <dimension ref="B1:O25"/>
  <sheetViews>
    <sheetView workbookViewId="0">
      <selection activeCell="K16" sqref="K16"/>
    </sheetView>
  </sheetViews>
  <sheetFormatPr defaultRowHeight="16.5" x14ac:dyDescent="0.3"/>
  <sheetData>
    <row r="1" spans="2:15" x14ac:dyDescent="0.3">
      <c r="B1" s="182" t="s">
        <v>84</v>
      </c>
      <c r="C1" s="182"/>
      <c r="D1" s="182"/>
      <c r="E1" s="182"/>
      <c r="F1" s="182"/>
      <c r="G1" s="182"/>
      <c r="H1" s="182"/>
      <c r="I1" s="182"/>
      <c r="J1" s="182"/>
      <c r="K1" s="182"/>
      <c r="L1" s="182"/>
      <c r="M1" s="182"/>
      <c r="N1" s="182"/>
      <c r="O1" s="182"/>
    </row>
    <row r="2" spans="2:15" x14ac:dyDescent="0.3">
      <c r="B2" s="182"/>
      <c r="C2" s="182"/>
      <c r="D2" s="182"/>
      <c r="E2" s="182"/>
      <c r="F2" s="182"/>
      <c r="G2" s="182"/>
      <c r="H2" s="182"/>
      <c r="I2" s="182"/>
      <c r="J2" s="182"/>
      <c r="K2" s="182"/>
      <c r="L2" s="182"/>
      <c r="M2" s="182"/>
      <c r="N2" s="182"/>
      <c r="O2" s="182"/>
    </row>
    <row r="3" spans="2:15" x14ac:dyDescent="0.3">
      <c r="B3" s="182"/>
      <c r="C3" s="182"/>
      <c r="D3" s="182"/>
      <c r="E3" s="182"/>
      <c r="F3" s="182"/>
      <c r="G3" s="182"/>
      <c r="H3" s="182"/>
      <c r="I3" s="182"/>
      <c r="J3" s="182"/>
      <c r="K3" s="182"/>
      <c r="L3" s="182"/>
      <c r="M3" s="182"/>
      <c r="N3" s="182"/>
      <c r="O3" s="182"/>
    </row>
    <row r="5" spans="2:15" ht="17.25" thickBot="1" x14ac:dyDescent="0.35"/>
    <row r="6" spans="2:15" ht="17.25" thickBot="1" x14ac:dyDescent="0.35">
      <c r="B6" s="22">
        <v>10</v>
      </c>
      <c r="C6" s="23">
        <v>79700</v>
      </c>
      <c r="G6" s="22">
        <v>8</v>
      </c>
      <c r="H6" s="23">
        <v>72800</v>
      </c>
      <c r="L6" s="22">
        <v>8</v>
      </c>
      <c r="M6" s="23">
        <v>90650</v>
      </c>
    </row>
    <row r="7" spans="2:15" ht="17.25" thickBot="1" x14ac:dyDescent="0.35">
      <c r="B7" s="20">
        <v>11</v>
      </c>
      <c r="C7" s="21">
        <v>92700</v>
      </c>
      <c r="G7" s="20">
        <v>9</v>
      </c>
      <c r="H7" s="21">
        <v>87650</v>
      </c>
      <c r="L7" s="20">
        <v>8</v>
      </c>
      <c r="M7" s="21">
        <v>90650</v>
      </c>
    </row>
    <row r="8" spans="2:15" ht="17.25" thickBot="1" x14ac:dyDescent="0.35">
      <c r="B8" s="22">
        <v>11</v>
      </c>
      <c r="C8" s="23">
        <v>92700</v>
      </c>
      <c r="G8" s="22">
        <v>9</v>
      </c>
      <c r="H8" s="23">
        <v>87650</v>
      </c>
      <c r="L8" s="22">
        <v>8</v>
      </c>
      <c r="M8" s="23">
        <v>90650</v>
      </c>
    </row>
    <row r="9" spans="2:15" ht="17.25" thickBot="1" x14ac:dyDescent="0.35">
      <c r="B9" s="20">
        <v>11</v>
      </c>
      <c r="C9" s="21">
        <v>92700</v>
      </c>
      <c r="G9" s="20">
        <v>9</v>
      </c>
      <c r="H9" s="21">
        <v>87650</v>
      </c>
      <c r="L9" s="20">
        <v>8</v>
      </c>
      <c r="M9" s="21">
        <v>90650</v>
      </c>
    </row>
    <row r="10" spans="2:15" ht="17.25" thickBot="1" x14ac:dyDescent="0.35">
      <c r="B10" s="24">
        <v>21</v>
      </c>
      <c r="C10" s="25">
        <f>SUM(C6:C9)</f>
        <v>357800</v>
      </c>
      <c r="G10" s="24">
        <v>17</v>
      </c>
      <c r="H10" s="25">
        <f>SUM(H6:H9)</f>
        <v>335750</v>
      </c>
      <c r="L10" s="24">
        <v>15</v>
      </c>
      <c r="M10" s="25">
        <f>SUM(M6:M9)</f>
        <v>362600</v>
      </c>
    </row>
    <row r="12" spans="2:15" x14ac:dyDescent="0.3">
      <c r="B12" s="200" t="s">
        <v>83</v>
      </c>
      <c r="C12" s="13" t="s">
        <v>82</v>
      </c>
      <c r="D12" s="13" t="s">
        <v>81</v>
      </c>
      <c r="E12" s="13" t="s">
        <v>80</v>
      </c>
      <c r="G12" s="200" t="s">
        <v>83</v>
      </c>
      <c r="H12" s="13" t="s">
        <v>82</v>
      </c>
      <c r="I12" s="13" t="s">
        <v>81</v>
      </c>
      <c r="J12" s="13" t="s">
        <v>80</v>
      </c>
      <c r="L12" s="200" t="s">
        <v>83</v>
      </c>
      <c r="M12" s="13" t="s">
        <v>82</v>
      </c>
      <c r="N12" s="13" t="s">
        <v>81</v>
      </c>
      <c r="O12" s="13" t="s">
        <v>80</v>
      </c>
    </row>
    <row r="13" spans="2:15" x14ac:dyDescent="0.3">
      <c r="B13" s="200"/>
      <c r="C13" s="13">
        <v>320000</v>
      </c>
      <c r="D13" s="13">
        <v>357800</v>
      </c>
      <c r="E13" s="13">
        <f>D13-C13</f>
        <v>37800</v>
      </c>
      <c r="G13" s="200"/>
      <c r="H13" s="13">
        <v>292300</v>
      </c>
      <c r="I13" s="13">
        <v>333500</v>
      </c>
      <c r="J13" s="13">
        <f>I13-H13</f>
        <v>41200</v>
      </c>
      <c r="L13" s="200"/>
      <c r="M13" s="13">
        <v>304900</v>
      </c>
      <c r="N13" s="13">
        <v>354900</v>
      </c>
      <c r="O13" s="13">
        <f>N13-M13</f>
        <v>50000</v>
      </c>
    </row>
    <row r="15" spans="2:15" x14ac:dyDescent="0.3">
      <c r="B15" s="201" t="s">
        <v>79</v>
      </c>
      <c r="C15" s="13" t="s">
        <v>78</v>
      </c>
      <c r="D15" s="13" t="s">
        <v>77</v>
      </c>
      <c r="G15" s="201" t="s">
        <v>79</v>
      </c>
      <c r="H15" s="13" t="s">
        <v>78</v>
      </c>
      <c r="I15" s="13" t="s">
        <v>77</v>
      </c>
      <c r="L15" s="201" t="s">
        <v>79</v>
      </c>
      <c r="M15" s="13" t="s">
        <v>78</v>
      </c>
      <c r="N15" s="13" t="s">
        <v>77</v>
      </c>
    </row>
    <row r="16" spans="2:15" x14ac:dyDescent="0.3">
      <c r="B16" s="201"/>
      <c r="C16" s="13">
        <v>360000</v>
      </c>
      <c r="D16" s="13">
        <v>3000</v>
      </c>
      <c r="G16" s="201"/>
      <c r="H16" s="13">
        <v>360000</v>
      </c>
      <c r="I16" s="13">
        <v>3000</v>
      </c>
      <c r="L16" s="201"/>
      <c r="M16" s="13">
        <v>360000</v>
      </c>
      <c r="N16" s="13">
        <v>3000</v>
      </c>
    </row>
    <row r="17" spans="2:15" x14ac:dyDescent="0.3">
      <c r="B17" s="201"/>
      <c r="C17" s="13">
        <v>30000</v>
      </c>
      <c r="D17" s="13">
        <v>250</v>
      </c>
      <c r="G17" s="201"/>
      <c r="H17" s="13"/>
      <c r="I17" s="13"/>
      <c r="L17" s="201"/>
      <c r="M17" s="13">
        <v>18000</v>
      </c>
      <c r="N17" s="13">
        <v>150</v>
      </c>
    </row>
    <row r="18" spans="2:15" x14ac:dyDescent="0.3">
      <c r="B18" s="201"/>
      <c r="C18" s="13">
        <f>SUM(C16:C17)</f>
        <v>390000</v>
      </c>
      <c r="D18" s="13">
        <f>SUM(D16:D17)</f>
        <v>3250</v>
      </c>
      <c r="G18" s="201"/>
      <c r="H18" s="13">
        <f>SUM(H16:H17)</f>
        <v>360000</v>
      </c>
      <c r="I18" s="13">
        <f>SUM(I16:I17)</f>
        <v>3000</v>
      </c>
      <c r="L18" s="201"/>
      <c r="M18" s="13">
        <f>SUM(M16:M17)</f>
        <v>378000</v>
      </c>
      <c r="N18" s="13">
        <f>SUM(N16:N17)</f>
        <v>3150</v>
      </c>
    </row>
    <row r="20" spans="2:15" x14ac:dyDescent="0.3">
      <c r="B20" s="199" t="s">
        <v>76</v>
      </c>
      <c r="C20" s="199"/>
      <c r="D20" s="199"/>
      <c r="E20" s="199"/>
      <c r="G20" s="199" t="s">
        <v>75</v>
      </c>
      <c r="H20" s="199"/>
      <c r="I20" s="199"/>
      <c r="J20" s="199"/>
      <c r="L20" s="199" t="s">
        <v>74</v>
      </c>
      <c r="M20" s="199"/>
      <c r="N20" s="199"/>
      <c r="O20" s="199"/>
    </row>
    <row r="21" spans="2:15" x14ac:dyDescent="0.3">
      <c r="B21" s="199"/>
      <c r="C21" s="199"/>
      <c r="D21" s="199"/>
      <c r="E21" s="199"/>
      <c r="G21" s="199"/>
      <c r="H21" s="199"/>
      <c r="I21" s="199"/>
      <c r="J21" s="199"/>
      <c r="L21" s="199"/>
      <c r="M21" s="199"/>
      <c r="N21" s="199"/>
      <c r="O21" s="199"/>
    </row>
    <row r="22" spans="2:15" x14ac:dyDescent="0.3">
      <c r="B22" s="199"/>
      <c r="C22" s="199"/>
      <c r="D22" s="199"/>
      <c r="E22" s="199"/>
      <c r="G22" s="199"/>
      <c r="H22" s="199"/>
      <c r="I22" s="199"/>
      <c r="J22" s="199"/>
      <c r="L22" s="199"/>
      <c r="M22" s="199"/>
      <c r="N22" s="199"/>
      <c r="O22" s="199"/>
    </row>
    <row r="23" spans="2:15" x14ac:dyDescent="0.3">
      <c r="B23" s="199"/>
      <c r="C23" s="199"/>
      <c r="D23" s="199"/>
      <c r="E23" s="199"/>
      <c r="G23" s="199"/>
      <c r="H23" s="199"/>
      <c r="I23" s="199"/>
      <c r="J23" s="199"/>
      <c r="L23" s="199"/>
      <c r="M23" s="199"/>
      <c r="N23" s="199"/>
      <c r="O23" s="199"/>
    </row>
    <row r="24" spans="2:15" x14ac:dyDescent="0.3">
      <c r="B24" s="199"/>
      <c r="C24" s="199"/>
      <c r="D24" s="199"/>
      <c r="E24" s="199"/>
      <c r="G24" s="199"/>
      <c r="H24" s="199"/>
      <c r="I24" s="199"/>
      <c r="J24" s="199"/>
      <c r="L24" s="199"/>
      <c r="M24" s="199"/>
      <c r="N24" s="199"/>
      <c r="O24" s="199"/>
    </row>
    <row r="25" spans="2:15" x14ac:dyDescent="0.3">
      <c r="B25" s="199"/>
      <c r="C25" s="199"/>
      <c r="D25" s="199"/>
      <c r="E25" s="199"/>
      <c r="G25" s="199"/>
      <c r="H25" s="199"/>
      <c r="I25" s="199"/>
      <c r="J25" s="199"/>
      <c r="L25" s="199"/>
      <c r="M25" s="199"/>
      <c r="N25" s="199"/>
      <c r="O25" s="199"/>
    </row>
  </sheetData>
  <mergeCells count="10">
    <mergeCell ref="B20:E25"/>
    <mergeCell ref="G20:J25"/>
    <mergeCell ref="L20:O25"/>
    <mergeCell ref="B1:O3"/>
    <mergeCell ref="B12:B13"/>
    <mergeCell ref="G12:G13"/>
    <mergeCell ref="L12:L13"/>
    <mergeCell ref="B15:B18"/>
    <mergeCell ref="G15:G18"/>
    <mergeCell ref="L15:L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EBA1-6DDE-42AA-B7FF-9BFD9CA4B76F}">
  <dimension ref="B2:D26"/>
  <sheetViews>
    <sheetView workbookViewId="0">
      <selection activeCell="B10" sqref="B10"/>
    </sheetView>
  </sheetViews>
  <sheetFormatPr defaultRowHeight="16.5" x14ac:dyDescent="0.3"/>
  <cols>
    <col min="2" max="4" width="19.875" customWidth="1"/>
  </cols>
  <sheetData>
    <row r="2" spans="2:4" ht="17.25" thickBot="1" x14ac:dyDescent="0.35"/>
    <row r="3" spans="2:4" ht="36" customHeight="1" thickBot="1" x14ac:dyDescent="0.35">
      <c r="B3" s="32" t="s">
        <v>85</v>
      </c>
      <c r="C3" s="32" t="s">
        <v>86</v>
      </c>
      <c r="D3" s="33" t="s">
        <v>92</v>
      </c>
    </row>
    <row r="4" spans="2:4" ht="36" customHeight="1" thickBot="1" x14ac:dyDescent="0.35">
      <c r="B4" s="34">
        <v>1</v>
      </c>
      <c r="C4" s="34" t="s">
        <v>87</v>
      </c>
      <c r="D4" s="35">
        <v>1000</v>
      </c>
    </row>
    <row r="5" spans="2:4" ht="36" customHeight="1" thickBot="1" x14ac:dyDescent="0.35">
      <c r="B5" s="36">
        <v>2</v>
      </c>
      <c r="C5" s="36" t="s">
        <v>88</v>
      </c>
      <c r="D5" s="37">
        <v>3000</v>
      </c>
    </row>
    <row r="6" spans="2:4" ht="36" customHeight="1" thickBot="1" x14ac:dyDescent="0.35">
      <c r="B6" s="34">
        <v>3</v>
      </c>
      <c r="C6" s="34" t="s">
        <v>89</v>
      </c>
      <c r="D6" s="38">
        <v>6000</v>
      </c>
    </row>
    <row r="7" spans="2:4" ht="36" customHeight="1" thickBot="1" x14ac:dyDescent="0.35">
      <c r="B7" s="36">
        <v>4</v>
      </c>
      <c r="C7" s="36" t="s">
        <v>90</v>
      </c>
      <c r="D7" s="39">
        <v>15000</v>
      </c>
    </row>
    <row r="8" spans="2:4" ht="36" customHeight="1" thickBot="1" x14ac:dyDescent="0.35">
      <c r="B8" s="34">
        <v>5</v>
      </c>
      <c r="C8" s="34" t="s">
        <v>91</v>
      </c>
      <c r="D8" s="35">
        <v>30000</v>
      </c>
    </row>
    <row r="9" spans="2:4" ht="36" customHeight="1" thickBot="1" x14ac:dyDescent="0.35">
      <c r="B9" s="202" t="s">
        <v>93</v>
      </c>
      <c r="C9" s="203"/>
      <c r="D9" s="204"/>
    </row>
    <row r="10" spans="2:4" ht="16.5" customHeight="1" x14ac:dyDescent="0.3"/>
    <row r="11" spans="2:4" ht="16.5" customHeight="1" x14ac:dyDescent="0.3"/>
    <row r="12" spans="2:4" ht="16.5" customHeight="1" x14ac:dyDescent="0.3"/>
    <row r="13" spans="2:4" ht="16.5" customHeight="1" x14ac:dyDescent="0.3"/>
    <row r="14" spans="2:4" ht="17.25" customHeight="1" x14ac:dyDescent="0.3"/>
    <row r="15" spans="2:4" ht="16.5" customHeight="1" x14ac:dyDescent="0.3"/>
    <row r="16" spans="2:4" ht="16.5" customHeight="1" x14ac:dyDescent="0.3"/>
    <row r="17" ht="16.5" customHeight="1" x14ac:dyDescent="0.3"/>
    <row r="18" ht="16.5" customHeight="1" x14ac:dyDescent="0.3"/>
    <row r="19" ht="16.5" customHeight="1" x14ac:dyDescent="0.3"/>
    <row r="20" ht="16.5" customHeight="1" x14ac:dyDescent="0.3"/>
    <row r="21" ht="16.5" customHeight="1" x14ac:dyDescent="0.3"/>
    <row r="22" ht="16.5" customHeight="1" x14ac:dyDescent="0.3"/>
    <row r="23" ht="16.5" customHeight="1" x14ac:dyDescent="0.3"/>
    <row r="24" ht="16.5" customHeight="1" x14ac:dyDescent="0.3"/>
    <row r="25" ht="16.5" customHeight="1" x14ac:dyDescent="0.3"/>
    <row r="26" ht="17.25" customHeight="1" x14ac:dyDescent="0.3"/>
  </sheetData>
  <mergeCells count="1">
    <mergeCell ref="B9:D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075C7-C917-437C-9928-382FEAB0F7F5}">
  <dimension ref="A2:L32"/>
  <sheetViews>
    <sheetView workbookViewId="0">
      <selection activeCell="P8" sqref="P8"/>
    </sheetView>
  </sheetViews>
  <sheetFormatPr defaultRowHeight="16.5" x14ac:dyDescent="0.3"/>
  <cols>
    <col min="1" max="1" width="16.5" bestFit="1" customWidth="1"/>
    <col min="4" max="4" width="16.125" bestFit="1" customWidth="1"/>
    <col min="5" max="5" width="9" style="40"/>
  </cols>
  <sheetData>
    <row r="2" spans="1:12" x14ac:dyDescent="0.3">
      <c r="A2" t="s">
        <v>94</v>
      </c>
      <c r="C2" t="s">
        <v>124</v>
      </c>
    </row>
    <row r="4" spans="1:12" x14ac:dyDescent="0.3">
      <c r="A4" s="200" t="s">
        <v>95</v>
      </c>
      <c r="B4" s="41" t="s">
        <v>96</v>
      </c>
      <c r="C4" s="41" t="s">
        <v>97</v>
      </c>
      <c r="D4" s="41" t="s">
        <v>98</v>
      </c>
      <c r="E4" s="41" t="s">
        <v>99</v>
      </c>
      <c r="G4" s="46" t="s">
        <v>123</v>
      </c>
    </row>
    <row r="5" spans="1:12" x14ac:dyDescent="0.3">
      <c r="A5" s="200"/>
      <c r="B5" s="41" t="s">
        <v>100</v>
      </c>
      <c r="C5" s="13">
        <v>150</v>
      </c>
      <c r="D5" s="41" t="s">
        <v>101</v>
      </c>
      <c r="E5" s="42" t="s">
        <v>102</v>
      </c>
    </row>
    <row r="6" spans="1:12" x14ac:dyDescent="0.3">
      <c r="A6" s="200"/>
      <c r="B6" s="41" t="s">
        <v>103</v>
      </c>
      <c r="C6" s="13">
        <v>450</v>
      </c>
      <c r="D6" s="41" t="s">
        <v>101</v>
      </c>
      <c r="E6" s="42" t="s">
        <v>102</v>
      </c>
    </row>
    <row r="7" spans="1:12" x14ac:dyDescent="0.3">
      <c r="A7" s="200"/>
      <c r="B7" s="41" t="s">
        <v>104</v>
      </c>
      <c r="C7" s="13">
        <v>960</v>
      </c>
      <c r="D7" s="41" t="s">
        <v>105</v>
      </c>
      <c r="E7" s="42" t="s">
        <v>106</v>
      </c>
    </row>
    <row r="8" spans="1:12" x14ac:dyDescent="0.3">
      <c r="A8" s="200"/>
      <c r="B8" s="41" t="s">
        <v>107</v>
      </c>
      <c r="C8" s="13">
        <v>1740</v>
      </c>
      <c r="D8" s="41" t="s">
        <v>105</v>
      </c>
      <c r="E8" s="42" t="s">
        <v>106</v>
      </c>
    </row>
    <row r="9" spans="1:12" x14ac:dyDescent="0.3">
      <c r="A9" s="200"/>
      <c r="B9" s="41" t="s">
        <v>108</v>
      </c>
      <c r="C9" s="13">
        <v>2850</v>
      </c>
      <c r="D9" s="41" t="s">
        <v>109</v>
      </c>
      <c r="E9" s="42" t="s">
        <v>106</v>
      </c>
    </row>
    <row r="10" spans="1:12" x14ac:dyDescent="0.3">
      <c r="A10" s="200"/>
      <c r="B10" s="41" t="s">
        <v>110</v>
      </c>
      <c r="C10" s="13">
        <v>4350</v>
      </c>
      <c r="D10" s="41" t="s">
        <v>109</v>
      </c>
      <c r="E10" s="42" t="s">
        <v>106</v>
      </c>
    </row>
    <row r="11" spans="1:12" x14ac:dyDescent="0.3">
      <c r="A11" s="200"/>
      <c r="B11" s="41" t="s">
        <v>111</v>
      </c>
      <c r="C11" s="13">
        <v>6450</v>
      </c>
      <c r="D11" s="41" t="s">
        <v>112</v>
      </c>
      <c r="E11" s="42" t="s">
        <v>106</v>
      </c>
    </row>
    <row r="12" spans="1:12" ht="16.5" customHeight="1" x14ac:dyDescent="0.3">
      <c r="A12" s="200"/>
      <c r="B12" s="43" t="s">
        <v>113</v>
      </c>
      <c r="C12" s="44">
        <v>9450</v>
      </c>
      <c r="D12" s="43" t="s">
        <v>105</v>
      </c>
      <c r="E12" s="45" t="s">
        <v>106</v>
      </c>
      <c r="F12" s="205"/>
      <c r="G12" s="206"/>
      <c r="H12" s="206"/>
      <c r="I12" s="206"/>
      <c r="J12" s="206"/>
      <c r="K12" s="206"/>
      <c r="L12" s="206"/>
    </row>
    <row r="13" spans="1:12" x14ac:dyDescent="0.3">
      <c r="A13" s="200"/>
      <c r="B13" s="43" t="s">
        <v>114</v>
      </c>
      <c r="C13" s="44">
        <v>12450</v>
      </c>
      <c r="D13" s="43" t="s">
        <v>105</v>
      </c>
      <c r="E13" s="45" t="s">
        <v>106</v>
      </c>
      <c r="F13" s="205"/>
      <c r="G13" s="206"/>
      <c r="H13" s="206"/>
      <c r="I13" s="206"/>
      <c r="J13" s="206"/>
      <c r="K13" s="206"/>
      <c r="L13" s="206"/>
    </row>
    <row r="14" spans="1:12" x14ac:dyDescent="0.3">
      <c r="A14" s="200"/>
      <c r="B14" s="43" t="s">
        <v>115</v>
      </c>
      <c r="C14" s="44"/>
      <c r="D14" s="44"/>
      <c r="E14" s="45"/>
      <c r="F14" s="205"/>
      <c r="G14" s="206"/>
      <c r="H14" s="206"/>
      <c r="I14" s="206"/>
      <c r="J14" s="206"/>
      <c r="K14" s="206"/>
      <c r="L14" s="206"/>
    </row>
    <row r="17" spans="1:5" x14ac:dyDescent="0.3">
      <c r="A17" s="200" t="s">
        <v>116</v>
      </c>
      <c r="B17" s="200"/>
      <c r="C17" s="200" t="s">
        <v>98</v>
      </c>
      <c r="D17" s="200"/>
      <c r="E17" s="42" t="s">
        <v>99</v>
      </c>
    </row>
    <row r="18" spans="1:5" x14ac:dyDescent="0.3">
      <c r="A18" s="200"/>
      <c r="B18" s="200"/>
      <c r="C18" s="200" t="s">
        <v>117</v>
      </c>
      <c r="D18" s="200"/>
      <c r="E18" s="42" t="s">
        <v>106</v>
      </c>
    </row>
    <row r="19" spans="1:5" ht="16.5" customHeight="1" x14ac:dyDescent="0.3">
      <c r="A19" s="200"/>
      <c r="B19" s="200"/>
      <c r="C19" s="201" t="s">
        <v>118</v>
      </c>
      <c r="D19" s="201"/>
      <c r="E19" s="201"/>
    </row>
    <row r="20" spans="1:5" x14ac:dyDescent="0.3">
      <c r="A20" s="200"/>
      <c r="B20" s="200"/>
      <c r="C20" s="201"/>
      <c r="D20" s="201"/>
      <c r="E20" s="201"/>
    </row>
    <row r="21" spans="1:5" x14ac:dyDescent="0.3">
      <c r="A21" s="200"/>
      <c r="B21" s="200"/>
      <c r="C21" s="201"/>
      <c r="D21" s="201"/>
      <c r="E21" s="201"/>
    </row>
    <row r="22" spans="1:5" x14ac:dyDescent="0.3">
      <c r="A22" s="200"/>
      <c r="B22" s="200"/>
      <c r="C22" s="201"/>
      <c r="D22" s="201"/>
      <c r="E22" s="201"/>
    </row>
    <row r="23" spans="1:5" x14ac:dyDescent="0.3">
      <c r="A23" s="200"/>
      <c r="B23" s="200"/>
      <c r="C23" s="201"/>
      <c r="D23" s="201"/>
      <c r="E23" s="201"/>
    </row>
    <row r="25" spans="1:5" x14ac:dyDescent="0.3">
      <c r="A25" s="201" t="s">
        <v>119</v>
      </c>
      <c r="B25" s="200"/>
      <c r="C25" s="201" t="s">
        <v>120</v>
      </c>
      <c r="D25" s="201"/>
      <c r="E25" s="201"/>
    </row>
    <row r="26" spans="1:5" x14ac:dyDescent="0.3">
      <c r="A26" s="200"/>
      <c r="B26" s="200"/>
      <c r="C26" s="201"/>
      <c r="D26" s="201"/>
      <c r="E26" s="201"/>
    </row>
    <row r="27" spans="1:5" x14ac:dyDescent="0.3">
      <c r="A27" s="200"/>
      <c r="B27" s="200"/>
      <c r="C27" s="201"/>
      <c r="D27" s="201"/>
      <c r="E27" s="201"/>
    </row>
    <row r="28" spans="1:5" x14ac:dyDescent="0.3">
      <c r="A28" s="200"/>
      <c r="B28" s="200"/>
      <c r="C28" s="201"/>
      <c r="D28" s="201"/>
      <c r="E28" s="201"/>
    </row>
    <row r="29" spans="1:5" x14ac:dyDescent="0.3">
      <c r="A29" s="201" t="s">
        <v>121</v>
      </c>
      <c r="B29" s="200"/>
      <c r="C29" s="201" t="s">
        <v>122</v>
      </c>
      <c r="D29" s="201"/>
      <c r="E29" s="201"/>
    </row>
    <row r="30" spans="1:5" x14ac:dyDescent="0.3">
      <c r="A30" s="200"/>
      <c r="B30" s="200"/>
      <c r="C30" s="201"/>
      <c r="D30" s="201"/>
      <c r="E30" s="201"/>
    </row>
    <row r="31" spans="1:5" x14ac:dyDescent="0.3">
      <c r="A31" s="200"/>
      <c r="B31" s="200"/>
      <c r="C31" s="201"/>
      <c r="D31" s="201"/>
      <c r="E31" s="201"/>
    </row>
    <row r="32" spans="1:5" x14ac:dyDescent="0.3">
      <c r="A32" s="200"/>
      <c r="B32" s="200"/>
      <c r="C32" s="201"/>
      <c r="D32" s="201"/>
      <c r="E32" s="201"/>
    </row>
  </sheetData>
  <mergeCells count="10">
    <mergeCell ref="A25:B28"/>
    <mergeCell ref="C25:E28"/>
    <mergeCell ref="A29:B32"/>
    <mergeCell ref="C29:E32"/>
    <mergeCell ref="A4:A14"/>
    <mergeCell ref="F12:L14"/>
    <mergeCell ref="A17:B23"/>
    <mergeCell ref="C17:D17"/>
    <mergeCell ref="C18:D18"/>
    <mergeCell ref="C19:E2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1880E-BAA9-4535-9BF0-4950B8ADEF92}">
  <dimension ref="A1:N52"/>
  <sheetViews>
    <sheetView topLeftCell="A15" zoomScale="85" zoomScaleNormal="85" workbookViewId="0">
      <selection activeCell="M47" sqref="M47"/>
    </sheetView>
  </sheetViews>
  <sheetFormatPr defaultRowHeight="16.5" x14ac:dyDescent="0.3"/>
  <cols>
    <col min="1" max="3" width="13" bestFit="1" customWidth="1"/>
    <col min="4" max="4" width="11" bestFit="1" customWidth="1"/>
    <col min="6" max="12" width="9" style="30"/>
  </cols>
  <sheetData>
    <row r="1" spans="1:14" x14ac:dyDescent="0.3">
      <c r="A1" s="207" t="s">
        <v>125</v>
      </c>
      <c r="B1" s="207"/>
      <c r="C1" s="207"/>
      <c r="D1" s="207"/>
      <c r="E1" s="49"/>
      <c r="F1" s="50"/>
      <c r="G1" s="50"/>
      <c r="H1" s="216" t="s">
        <v>126</v>
      </c>
      <c r="I1" s="216"/>
      <c r="J1" s="216"/>
      <c r="K1" s="216"/>
      <c r="L1" s="50"/>
      <c r="M1" s="49"/>
      <c r="N1" s="49"/>
    </row>
    <row r="2" spans="1:14" ht="17.25" thickBot="1" x14ac:dyDescent="0.35">
      <c r="A2" s="49" t="s">
        <v>98</v>
      </c>
      <c r="B2" s="50">
        <v>100</v>
      </c>
      <c r="C2" s="50">
        <v>120</v>
      </c>
      <c r="D2" s="49">
        <f>C2*B2</f>
        <v>12000</v>
      </c>
      <c r="E2" s="49"/>
      <c r="F2" s="50"/>
      <c r="G2" s="50"/>
      <c r="H2" s="216"/>
      <c r="I2" s="216"/>
      <c r="J2" s="216"/>
      <c r="K2" s="216"/>
      <c r="L2" s="50"/>
      <c r="M2" s="49"/>
      <c r="N2" s="49"/>
    </row>
    <row r="3" spans="1:14" ht="17.25" thickBot="1" x14ac:dyDescent="0.35">
      <c r="A3" s="51" t="s">
        <v>148</v>
      </c>
      <c r="B3" s="52" t="s">
        <v>149</v>
      </c>
      <c r="C3" s="52" t="s">
        <v>150</v>
      </c>
      <c r="D3" s="53" t="s">
        <v>151</v>
      </c>
      <c r="E3" s="49"/>
      <c r="F3" s="54"/>
      <c r="G3" s="49"/>
      <c r="H3" s="55"/>
      <c r="I3" s="50" t="s">
        <v>82</v>
      </c>
      <c r="J3" s="50" t="s">
        <v>81</v>
      </c>
      <c r="K3" s="50" t="s">
        <v>127</v>
      </c>
      <c r="L3" s="50"/>
      <c r="M3" s="50"/>
      <c r="N3" s="50"/>
    </row>
    <row r="4" spans="1:14" ht="16.5" customHeight="1" x14ac:dyDescent="0.3">
      <c r="A4" s="56"/>
      <c r="B4" s="57">
        <v>0</v>
      </c>
      <c r="C4" s="57">
        <v>5000</v>
      </c>
      <c r="D4" s="58">
        <f>C4-B4</f>
        <v>5000</v>
      </c>
      <c r="E4" s="49"/>
      <c r="F4" s="49"/>
      <c r="G4" s="49"/>
      <c r="H4" s="210">
        <v>5</v>
      </c>
      <c r="I4" s="211">
        <f>B9</f>
        <v>30550</v>
      </c>
      <c r="J4" s="212">
        <f>C9</f>
        <v>38600</v>
      </c>
      <c r="K4" s="211">
        <f>J4-I4</f>
        <v>8050</v>
      </c>
      <c r="L4" s="207"/>
      <c r="M4" s="59"/>
      <c r="N4" s="59"/>
    </row>
    <row r="5" spans="1:14" x14ac:dyDescent="0.3">
      <c r="A5" s="60">
        <v>1</v>
      </c>
      <c r="B5" s="61">
        <v>5000</v>
      </c>
      <c r="C5" s="61">
        <v>10500</v>
      </c>
      <c r="D5" s="62">
        <v>5500</v>
      </c>
      <c r="E5" s="49"/>
      <c r="F5" s="49"/>
      <c r="G5" s="49"/>
      <c r="H5" s="210"/>
      <c r="I5" s="211"/>
      <c r="J5" s="213"/>
      <c r="K5" s="211"/>
      <c r="L5" s="207"/>
      <c r="M5" s="59"/>
      <c r="N5" s="59"/>
    </row>
    <row r="6" spans="1:14" ht="16.5" customHeight="1" x14ac:dyDescent="0.3">
      <c r="A6" s="60">
        <v>2</v>
      </c>
      <c r="B6" s="61">
        <v>10500</v>
      </c>
      <c r="C6" s="61">
        <v>16550</v>
      </c>
      <c r="D6" s="62">
        <v>6050</v>
      </c>
      <c r="E6" s="49"/>
      <c r="F6" s="49"/>
      <c r="G6" s="49"/>
      <c r="H6" s="210">
        <v>7</v>
      </c>
      <c r="I6" s="211">
        <f>B11</f>
        <v>47450</v>
      </c>
      <c r="J6" s="212">
        <f>C11</f>
        <v>57200</v>
      </c>
      <c r="K6" s="211">
        <f>J6-I6</f>
        <v>9750</v>
      </c>
      <c r="L6" s="207"/>
      <c r="M6" s="59"/>
      <c r="N6" s="59"/>
    </row>
    <row r="7" spans="1:14" x14ac:dyDescent="0.3">
      <c r="A7" s="60">
        <v>3</v>
      </c>
      <c r="B7" s="61">
        <v>16550</v>
      </c>
      <c r="C7" s="61">
        <v>23200</v>
      </c>
      <c r="D7" s="62">
        <v>6650</v>
      </c>
      <c r="E7" s="49"/>
      <c r="F7" s="49"/>
      <c r="G7" s="49"/>
      <c r="H7" s="210"/>
      <c r="I7" s="211"/>
      <c r="J7" s="213"/>
      <c r="K7" s="211"/>
      <c r="L7" s="207"/>
      <c r="M7" s="59"/>
      <c r="N7" s="59"/>
    </row>
    <row r="8" spans="1:14" ht="16.5" customHeight="1" x14ac:dyDescent="0.3">
      <c r="A8" s="60">
        <v>4</v>
      </c>
      <c r="B8" s="61">
        <v>23200</v>
      </c>
      <c r="C8" s="61">
        <v>30550</v>
      </c>
      <c r="D8" s="62">
        <v>7350</v>
      </c>
      <c r="E8" s="49"/>
      <c r="F8" s="49"/>
      <c r="G8" s="49"/>
      <c r="H8" s="50"/>
      <c r="I8" s="63">
        <f>SUM(I4:I7)</f>
        <v>78000</v>
      </c>
      <c r="J8" s="63">
        <f>SUM(J4:J7)</f>
        <v>95800</v>
      </c>
      <c r="K8" s="64">
        <f>SUM(K4:K7)</f>
        <v>17800</v>
      </c>
      <c r="L8" s="50"/>
      <c r="M8" s="59"/>
      <c r="N8" s="59"/>
    </row>
    <row r="9" spans="1:14" x14ac:dyDescent="0.3">
      <c r="A9" s="60">
        <v>5</v>
      </c>
      <c r="B9" s="61">
        <v>30550</v>
      </c>
      <c r="C9" s="61">
        <v>38600</v>
      </c>
      <c r="D9" s="62">
        <v>8050</v>
      </c>
      <c r="E9" s="49"/>
      <c r="F9" s="49"/>
      <c r="G9" s="49"/>
      <c r="H9" s="50"/>
      <c r="I9" s="50"/>
      <c r="J9" s="50"/>
      <c r="K9" s="50"/>
      <c r="L9" s="50"/>
      <c r="M9" s="59"/>
      <c r="N9" s="59"/>
    </row>
    <row r="10" spans="1:14" ht="16.5" customHeight="1" x14ac:dyDescent="0.3">
      <c r="A10" s="60">
        <v>6</v>
      </c>
      <c r="B10" s="61">
        <v>38600</v>
      </c>
      <c r="C10" s="61">
        <v>47450</v>
      </c>
      <c r="D10" s="62">
        <v>8850</v>
      </c>
      <c r="E10" s="49"/>
      <c r="F10" s="49"/>
      <c r="G10" s="65"/>
      <c r="H10" s="65" t="s">
        <v>128</v>
      </c>
      <c r="I10" s="65" t="s">
        <v>129</v>
      </c>
      <c r="J10" s="65" t="s">
        <v>127</v>
      </c>
      <c r="K10" s="214"/>
      <c r="L10" s="50"/>
      <c r="M10" s="59"/>
      <c r="N10" s="59"/>
    </row>
    <row r="11" spans="1:14" x14ac:dyDescent="0.3">
      <c r="A11" s="60">
        <v>7</v>
      </c>
      <c r="B11" s="61">
        <v>47450</v>
      </c>
      <c r="C11" s="61">
        <v>57200</v>
      </c>
      <c r="D11" s="62">
        <v>9750</v>
      </c>
      <c r="E11" s="49"/>
      <c r="F11" s="49"/>
      <c r="G11" s="65" t="s">
        <v>130</v>
      </c>
      <c r="H11" s="66">
        <v>78000</v>
      </c>
      <c r="I11" s="67">
        <f>J8</f>
        <v>95800</v>
      </c>
      <c r="J11" s="68">
        <f>I11-H11</f>
        <v>17800</v>
      </c>
      <c r="K11" s="214"/>
      <c r="L11" s="50"/>
      <c r="M11" s="59"/>
      <c r="N11" s="59"/>
    </row>
    <row r="12" spans="1:14" x14ac:dyDescent="0.3">
      <c r="A12" s="60">
        <v>8</v>
      </c>
      <c r="B12" s="61">
        <v>57200</v>
      </c>
      <c r="C12" s="61">
        <v>67900</v>
      </c>
      <c r="D12" s="62">
        <v>10700</v>
      </c>
      <c r="E12" s="49"/>
      <c r="F12" s="49"/>
      <c r="G12" s="65" t="s">
        <v>131</v>
      </c>
      <c r="H12" s="67"/>
      <c r="I12" s="67">
        <f>C17</f>
        <v>139900</v>
      </c>
      <c r="J12" s="69">
        <f>I12-H11</f>
        <v>61900</v>
      </c>
      <c r="K12" s="214"/>
      <c r="L12" s="50"/>
      <c r="M12" s="59"/>
      <c r="N12" s="59"/>
    </row>
    <row r="13" spans="1:14" x14ac:dyDescent="0.3">
      <c r="A13" s="60">
        <v>9</v>
      </c>
      <c r="B13" s="61">
        <v>67900</v>
      </c>
      <c r="C13" s="61">
        <v>79700</v>
      </c>
      <c r="D13" s="62">
        <v>11800</v>
      </c>
      <c r="E13" s="49"/>
      <c r="F13" s="49"/>
      <c r="G13" s="50"/>
      <c r="H13" s="59"/>
      <c r="I13" s="59"/>
      <c r="J13" s="59"/>
      <c r="K13" s="70"/>
      <c r="L13" s="50"/>
      <c r="M13" s="59"/>
      <c r="N13" s="59"/>
    </row>
    <row r="14" spans="1:14" ht="16.5" customHeight="1" x14ac:dyDescent="0.3">
      <c r="A14" s="60">
        <v>10</v>
      </c>
      <c r="B14" s="61">
        <v>79700</v>
      </c>
      <c r="C14" s="61">
        <v>92700</v>
      </c>
      <c r="D14" s="62">
        <v>13000</v>
      </c>
      <c r="E14" s="49"/>
      <c r="F14" s="49"/>
      <c r="G14" s="210" t="s">
        <v>132</v>
      </c>
      <c r="H14" s="67" t="s">
        <v>82</v>
      </c>
      <c r="I14" s="67" t="s">
        <v>81</v>
      </c>
      <c r="J14" s="67" t="s">
        <v>127</v>
      </c>
      <c r="K14" s="214" t="s">
        <v>133</v>
      </c>
      <c r="L14" s="54"/>
      <c r="M14" s="50"/>
      <c r="N14" s="50"/>
    </row>
    <row r="15" spans="1:14" ht="16.5" customHeight="1" x14ac:dyDescent="0.3">
      <c r="A15" s="60">
        <v>11</v>
      </c>
      <c r="B15" s="61">
        <v>92700</v>
      </c>
      <c r="C15" s="61">
        <v>106950</v>
      </c>
      <c r="D15" s="62">
        <v>14250</v>
      </c>
      <c r="E15" s="49"/>
      <c r="F15" s="49"/>
      <c r="G15" s="210"/>
      <c r="H15" s="66">
        <f>I8</f>
        <v>78000</v>
      </c>
      <c r="I15" s="67">
        <f>I12</f>
        <v>139900</v>
      </c>
      <c r="J15" s="67">
        <f>I15-H15</f>
        <v>61900</v>
      </c>
      <c r="K15" s="214"/>
      <c r="L15" s="54"/>
      <c r="M15" s="59"/>
      <c r="N15" s="59"/>
    </row>
    <row r="16" spans="1:14" ht="16.5" customHeight="1" x14ac:dyDescent="0.3">
      <c r="A16" s="60">
        <v>12</v>
      </c>
      <c r="B16" s="61">
        <v>106950</v>
      </c>
      <c r="C16" s="61">
        <v>122650</v>
      </c>
      <c r="D16" s="62">
        <v>15700</v>
      </c>
      <c r="E16" s="49"/>
      <c r="F16" s="49"/>
      <c r="G16" s="208" t="s">
        <v>134</v>
      </c>
      <c r="H16" s="208"/>
      <c r="I16" s="208"/>
      <c r="J16" s="208"/>
      <c r="K16" s="214"/>
      <c r="L16" s="54"/>
      <c r="M16" s="59"/>
      <c r="N16" s="59"/>
    </row>
    <row r="17" spans="1:14" ht="16.5" customHeight="1" x14ac:dyDescent="0.3">
      <c r="A17" s="60">
        <v>13</v>
      </c>
      <c r="B17" s="61">
        <v>122650</v>
      </c>
      <c r="C17" s="61">
        <v>139900</v>
      </c>
      <c r="D17" s="62">
        <v>17250</v>
      </c>
      <c r="E17" s="49"/>
      <c r="F17" s="49"/>
      <c r="G17" s="208"/>
      <c r="H17" s="208"/>
      <c r="I17" s="208"/>
      <c r="J17" s="208"/>
      <c r="K17" s="214"/>
      <c r="L17" s="54"/>
      <c r="M17" s="59"/>
      <c r="N17" s="59"/>
    </row>
    <row r="18" spans="1:14" x14ac:dyDescent="0.3">
      <c r="A18" s="60">
        <v>14</v>
      </c>
      <c r="B18" s="61">
        <v>139900</v>
      </c>
      <c r="C18" s="61">
        <v>158900</v>
      </c>
      <c r="D18" s="62">
        <v>19000</v>
      </c>
      <c r="E18" s="49"/>
      <c r="F18" s="49"/>
      <c r="G18" s="208"/>
      <c r="H18" s="208"/>
      <c r="I18" s="208"/>
      <c r="J18" s="208"/>
      <c r="K18" s="214"/>
      <c r="L18" s="50"/>
      <c r="M18" s="59"/>
      <c r="N18" s="59"/>
    </row>
    <row r="19" spans="1:14" ht="16.5" customHeight="1" x14ac:dyDescent="0.3">
      <c r="A19" s="60">
        <v>15</v>
      </c>
      <c r="B19" s="61">
        <v>158900</v>
      </c>
      <c r="C19" s="61">
        <v>179750</v>
      </c>
      <c r="D19" s="62">
        <v>20850</v>
      </c>
      <c r="E19" s="49"/>
      <c r="F19" s="49"/>
      <c r="G19" s="55"/>
      <c r="H19" s="55"/>
      <c r="I19" s="55"/>
      <c r="J19" s="55"/>
      <c r="K19" s="70"/>
      <c r="L19" s="50"/>
      <c r="M19" s="59"/>
      <c r="N19" s="59"/>
    </row>
    <row r="20" spans="1:14" ht="17.25" thickBot="1" x14ac:dyDescent="0.35">
      <c r="A20" s="71">
        <v>16</v>
      </c>
      <c r="B20" s="72">
        <v>179750</v>
      </c>
      <c r="C20" s="72">
        <v>202750</v>
      </c>
      <c r="D20" s="73">
        <v>23000</v>
      </c>
      <c r="E20" s="49"/>
      <c r="F20" s="49"/>
      <c r="G20" s="209" t="s">
        <v>135</v>
      </c>
      <c r="H20" s="209"/>
      <c r="I20" s="209"/>
      <c r="J20" s="209"/>
      <c r="K20" s="209"/>
      <c r="L20" s="50"/>
      <c r="M20" s="59"/>
      <c r="N20" s="59"/>
    </row>
    <row r="21" spans="1:14" ht="16.5" customHeight="1" x14ac:dyDescent="0.3">
      <c r="A21" s="74">
        <v>17</v>
      </c>
      <c r="B21" s="57">
        <v>202750</v>
      </c>
      <c r="C21" s="57">
        <v>228000</v>
      </c>
      <c r="D21" s="57">
        <v>25250</v>
      </c>
      <c r="E21" s="49"/>
      <c r="F21" s="49"/>
      <c r="G21" s="209"/>
      <c r="H21" s="209"/>
      <c r="I21" s="209"/>
      <c r="J21" s="209"/>
      <c r="K21" s="209"/>
      <c r="L21" s="207" t="s">
        <v>136</v>
      </c>
      <c r="M21" s="59"/>
      <c r="N21" s="59"/>
    </row>
    <row r="22" spans="1:14" x14ac:dyDescent="0.3">
      <c r="A22" s="75">
        <v>18</v>
      </c>
      <c r="B22" s="61">
        <v>228000</v>
      </c>
      <c r="C22" s="61">
        <v>255800</v>
      </c>
      <c r="D22" s="61">
        <v>27800</v>
      </c>
      <c r="E22" s="49"/>
      <c r="F22" s="49"/>
      <c r="G22" s="209"/>
      <c r="H22" s="209"/>
      <c r="I22" s="209"/>
      <c r="J22" s="209"/>
      <c r="K22" s="209"/>
      <c r="L22" s="207"/>
      <c r="M22" s="59"/>
      <c r="N22" s="59"/>
    </row>
    <row r="23" spans="1:14" ht="16.5" customHeight="1" x14ac:dyDescent="0.3">
      <c r="A23" s="75">
        <v>19</v>
      </c>
      <c r="B23" s="61">
        <v>255800</v>
      </c>
      <c r="C23" s="61">
        <v>286400</v>
      </c>
      <c r="D23" s="61">
        <v>30600</v>
      </c>
      <c r="E23" s="49"/>
      <c r="F23" s="49"/>
      <c r="G23" s="209"/>
      <c r="H23" s="209"/>
      <c r="I23" s="209"/>
      <c r="J23" s="209"/>
      <c r="K23" s="209"/>
      <c r="L23" s="207"/>
      <c r="M23" s="49"/>
      <c r="N23" s="49"/>
    </row>
    <row r="24" spans="1:14" x14ac:dyDescent="0.3">
      <c r="A24" s="75">
        <v>20</v>
      </c>
      <c r="B24" s="61">
        <v>286400</v>
      </c>
      <c r="C24" s="61">
        <v>320000</v>
      </c>
      <c r="D24" s="61">
        <v>33600</v>
      </c>
      <c r="E24" s="49"/>
      <c r="F24" s="49"/>
      <c r="G24" s="209"/>
      <c r="H24" s="209"/>
      <c r="I24" s="209"/>
      <c r="J24" s="209"/>
      <c r="K24" s="209"/>
      <c r="L24" s="207"/>
      <c r="M24" s="50"/>
      <c r="N24" s="50"/>
    </row>
    <row r="25" spans="1:14" ht="16.5" customHeight="1" x14ac:dyDescent="0.3">
      <c r="A25" s="76">
        <v>21</v>
      </c>
      <c r="B25" s="77">
        <v>320000</v>
      </c>
      <c r="C25" s="77">
        <v>357000</v>
      </c>
      <c r="D25" s="77">
        <v>37000</v>
      </c>
      <c r="E25" s="49"/>
      <c r="F25" s="49"/>
      <c r="G25" s="49"/>
      <c r="H25" s="50"/>
      <c r="I25" s="50"/>
      <c r="J25" s="50"/>
      <c r="K25" s="63"/>
      <c r="L25" s="50"/>
      <c r="M25" s="59"/>
      <c r="N25" s="59"/>
    </row>
    <row r="26" spans="1:14" x14ac:dyDescent="0.3">
      <c r="A26" s="49"/>
      <c r="B26" s="49"/>
      <c r="C26" s="49"/>
      <c r="D26" s="49"/>
      <c r="E26" s="49"/>
      <c r="F26" s="50"/>
      <c r="G26" s="49"/>
      <c r="H26" s="50"/>
      <c r="I26" s="50"/>
      <c r="J26" s="50"/>
      <c r="K26" s="50"/>
      <c r="L26" s="50"/>
      <c r="M26" s="59"/>
      <c r="N26" s="59"/>
    </row>
    <row r="27" spans="1:14" ht="16.5" customHeight="1" x14ac:dyDescent="0.3">
      <c r="A27" s="215" t="s">
        <v>137</v>
      </c>
      <c r="B27" s="215"/>
      <c r="C27" s="215"/>
      <c r="D27" s="215"/>
      <c r="E27" s="54"/>
      <c r="F27" s="54"/>
      <c r="G27" s="49"/>
      <c r="H27" s="50"/>
      <c r="I27" s="50" t="s">
        <v>82</v>
      </c>
      <c r="J27" s="50" t="s">
        <v>81</v>
      </c>
      <c r="K27" s="50" t="s">
        <v>127</v>
      </c>
      <c r="L27" s="78"/>
      <c r="M27" s="59"/>
      <c r="N27" s="59"/>
    </row>
    <row r="28" spans="1:14" x14ac:dyDescent="0.3">
      <c r="A28" s="215"/>
      <c r="B28" s="215"/>
      <c r="C28" s="215"/>
      <c r="D28" s="215"/>
      <c r="E28" s="54"/>
      <c r="F28" s="54"/>
      <c r="G28" s="49"/>
      <c r="H28" s="210">
        <v>2</v>
      </c>
      <c r="I28" s="211">
        <f>B6</f>
        <v>10500</v>
      </c>
      <c r="J28" s="212">
        <f>C6</f>
        <v>16550</v>
      </c>
      <c r="K28" s="211">
        <f>J28-I28</f>
        <v>6050</v>
      </c>
      <c r="L28" s="78"/>
      <c r="M28" s="59"/>
      <c r="N28" s="59"/>
    </row>
    <row r="29" spans="1:14" ht="16.5" customHeight="1" x14ac:dyDescent="0.3">
      <c r="A29" s="215"/>
      <c r="B29" s="215"/>
      <c r="C29" s="215"/>
      <c r="D29" s="215"/>
      <c r="E29" s="54"/>
      <c r="F29" s="54"/>
      <c r="G29" s="49"/>
      <c r="H29" s="210"/>
      <c r="I29" s="211"/>
      <c r="J29" s="213"/>
      <c r="K29" s="211"/>
      <c r="L29" s="78"/>
      <c r="M29" s="59"/>
      <c r="N29" s="59"/>
    </row>
    <row r="30" spans="1:14" x14ac:dyDescent="0.3">
      <c r="A30" s="215"/>
      <c r="B30" s="215"/>
      <c r="C30" s="215"/>
      <c r="D30" s="215"/>
      <c r="E30" s="54"/>
      <c r="F30" s="54"/>
      <c r="G30" s="49"/>
      <c r="H30" s="210">
        <v>8</v>
      </c>
      <c r="I30" s="211">
        <f>B12</f>
        <v>57200</v>
      </c>
      <c r="J30" s="212">
        <f>C12</f>
        <v>67900</v>
      </c>
      <c r="K30" s="211">
        <f>J30-I30</f>
        <v>10700</v>
      </c>
      <c r="L30" s="78"/>
      <c r="M30" s="59"/>
      <c r="N30" s="59"/>
    </row>
    <row r="31" spans="1:14" ht="16.5" customHeight="1" x14ac:dyDescent="0.3">
      <c r="A31" s="215"/>
      <c r="B31" s="215"/>
      <c r="C31" s="215"/>
      <c r="D31" s="215"/>
      <c r="E31" s="54"/>
      <c r="F31" s="54"/>
      <c r="G31" s="49"/>
      <c r="H31" s="210"/>
      <c r="I31" s="211"/>
      <c r="J31" s="213"/>
      <c r="K31" s="211"/>
      <c r="L31" s="78"/>
      <c r="M31" s="59"/>
      <c r="N31" s="59"/>
    </row>
    <row r="32" spans="1:14" x14ac:dyDescent="0.3">
      <c r="A32" s="215"/>
      <c r="B32" s="215"/>
      <c r="C32" s="215"/>
      <c r="D32" s="215"/>
      <c r="E32" s="54"/>
      <c r="F32" s="54"/>
      <c r="G32" s="49"/>
      <c r="H32" s="79"/>
      <c r="I32" s="80">
        <f>SUM(I28:I31)</f>
        <v>67700</v>
      </c>
      <c r="J32" s="80">
        <f>SUM(J28:J31)</f>
        <v>84450</v>
      </c>
      <c r="K32" s="81">
        <f>SUM(K28:K31)</f>
        <v>16750</v>
      </c>
      <c r="L32" s="78"/>
      <c r="M32" s="59"/>
      <c r="N32" s="59"/>
    </row>
    <row r="33" spans="1:14" x14ac:dyDescent="0.3">
      <c r="A33" s="215"/>
      <c r="B33" s="215"/>
      <c r="C33" s="215"/>
      <c r="D33" s="215"/>
      <c r="E33" s="54"/>
      <c r="F33" s="54"/>
      <c r="G33" s="49"/>
      <c r="H33" s="49"/>
      <c r="I33" s="82"/>
      <c r="J33" s="82"/>
      <c r="K33" s="82"/>
      <c r="L33" s="78"/>
      <c r="M33" s="49"/>
      <c r="N33" s="49"/>
    </row>
    <row r="34" spans="1:14" x14ac:dyDescent="0.3">
      <c r="A34" s="215"/>
      <c r="B34" s="215"/>
      <c r="C34" s="215"/>
      <c r="D34" s="215"/>
      <c r="E34" s="54"/>
      <c r="F34" s="54"/>
      <c r="G34" s="65"/>
      <c r="H34" s="65" t="s">
        <v>128</v>
      </c>
      <c r="I34" s="65" t="s">
        <v>129</v>
      </c>
      <c r="J34" s="65" t="s">
        <v>127</v>
      </c>
      <c r="K34" s="214"/>
      <c r="L34" s="78"/>
      <c r="M34" s="49"/>
      <c r="N34" s="49"/>
    </row>
    <row r="35" spans="1:14" x14ac:dyDescent="0.3">
      <c r="A35" s="215"/>
      <c r="B35" s="215"/>
      <c r="C35" s="215"/>
      <c r="D35" s="215"/>
      <c r="E35" s="54"/>
      <c r="F35" s="54"/>
      <c r="G35" s="65" t="s">
        <v>130</v>
      </c>
      <c r="H35" s="66">
        <f>I32</f>
        <v>67700</v>
      </c>
      <c r="I35" s="67">
        <f>J32</f>
        <v>84450</v>
      </c>
      <c r="J35" s="68">
        <f>I35-H35</f>
        <v>16750</v>
      </c>
      <c r="K35" s="214"/>
      <c r="L35" s="78"/>
      <c r="M35" s="49"/>
      <c r="N35" s="49"/>
    </row>
    <row r="36" spans="1:14" x14ac:dyDescent="0.3">
      <c r="A36" s="215"/>
      <c r="B36" s="215"/>
      <c r="C36" s="215"/>
      <c r="D36" s="215"/>
      <c r="E36" s="54"/>
      <c r="F36" s="54"/>
      <c r="G36" s="65" t="s">
        <v>131</v>
      </c>
      <c r="H36" s="67"/>
      <c r="I36" s="67">
        <v>122650</v>
      </c>
      <c r="J36" s="69">
        <f>I36-H35</f>
        <v>54950</v>
      </c>
      <c r="K36" s="214"/>
      <c r="L36" s="78"/>
      <c r="M36" s="83"/>
      <c r="N36" s="49"/>
    </row>
    <row r="37" spans="1:14" x14ac:dyDescent="0.3">
      <c r="A37" s="215"/>
      <c r="B37" s="215"/>
      <c r="C37" s="215"/>
      <c r="D37" s="215"/>
      <c r="E37" s="54"/>
      <c r="F37" s="54"/>
      <c r="G37" s="49"/>
      <c r="H37" s="49"/>
      <c r="I37" s="82"/>
      <c r="J37" s="82"/>
      <c r="K37" s="82"/>
      <c r="L37" s="50"/>
      <c r="M37" s="49"/>
      <c r="N37" s="49"/>
    </row>
    <row r="38" spans="1:14" ht="16.5" customHeight="1" x14ac:dyDescent="0.3">
      <c r="A38" s="54"/>
      <c r="B38" s="54"/>
      <c r="C38" s="54"/>
      <c r="D38" s="54"/>
      <c r="E38" s="54"/>
      <c r="F38" s="54"/>
      <c r="G38" s="210" t="s">
        <v>132</v>
      </c>
      <c r="H38" s="67" t="s">
        <v>82</v>
      </c>
      <c r="I38" s="67" t="s">
        <v>81</v>
      </c>
      <c r="J38" s="67" t="s">
        <v>127</v>
      </c>
      <c r="K38" s="214" t="s">
        <v>138</v>
      </c>
      <c r="L38" s="207"/>
      <c r="M38" s="49"/>
      <c r="N38" s="49"/>
    </row>
    <row r="39" spans="1:14" x14ac:dyDescent="0.3">
      <c r="A39" s="54"/>
      <c r="B39" s="54"/>
      <c r="C39" s="54"/>
      <c r="D39" s="54"/>
      <c r="E39" s="54"/>
      <c r="F39" s="54"/>
      <c r="G39" s="210"/>
      <c r="H39" s="67">
        <f>H35</f>
        <v>67700</v>
      </c>
      <c r="I39" s="67">
        <f>I36</f>
        <v>122650</v>
      </c>
      <c r="J39" s="67">
        <f>I39-H39</f>
        <v>54950</v>
      </c>
      <c r="K39" s="214"/>
      <c r="L39" s="207"/>
    </row>
    <row r="40" spans="1:14" ht="16.5" customHeight="1" x14ac:dyDescent="0.3">
      <c r="A40" s="54"/>
      <c r="B40" s="54"/>
      <c r="C40" s="54"/>
      <c r="D40" s="54"/>
      <c r="E40" s="54"/>
      <c r="F40" s="54"/>
      <c r="G40" s="208" t="s">
        <v>139</v>
      </c>
      <c r="H40" s="208"/>
      <c r="I40" s="208"/>
      <c r="J40" s="208"/>
      <c r="K40" s="214"/>
      <c r="L40" s="207"/>
    </row>
    <row r="41" spans="1:14" x14ac:dyDescent="0.3">
      <c r="A41" s="54"/>
      <c r="B41" s="54"/>
      <c r="C41" s="54"/>
      <c r="D41" s="54"/>
      <c r="E41" s="54"/>
      <c r="F41" s="54"/>
      <c r="G41" s="208"/>
      <c r="H41" s="208"/>
      <c r="I41" s="208"/>
      <c r="J41" s="208"/>
      <c r="K41" s="214"/>
      <c r="L41" s="207"/>
    </row>
    <row r="42" spans="1:14" ht="16.5" customHeight="1" x14ac:dyDescent="0.3">
      <c r="A42" s="54"/>
      <c r="B42" s="54"/>
      <c r="C42" s="54"/>
      <c r="D42" s="54"/>
      <c r="E42" s="54"/>
      <c r="F42" s="54"/>
      <c r="G42" s="208"/>
      <c r="H42" s="208"/>
      <c r="I42" s="208"/>
      <c r="J42" s="208"/>
      <c r="K42" s="214"/>
      <c r="L42" s="50"/>
    </row>
    <row r="43" spans="1:14" x14ac:dyDescent="0.3">
      <c r="A43" s="54"/>
      <c r="B43" s="54"/>
      <c r="C43" s="54"/>
      <c r="D43" s="54"/>
      <c r="E43" s="54"/>
      <c r="F43" s="54"/>
      <c r="G43" s="55"/>
      <c r="H43" s="55"/>
      <c r="I43" s="55"/>
      <c r="J43" s="55"/>
      <c r="K43" s="70"/>
      <c r="L43" s="50"/>
    </row>
    <row r="44" spans="1:14" ht="16.5" customHeight="1" x14ac:dyDescent="0.3">
      <c r="A44" s="54"/>
      <c r="B44" s="54"/>
      <c r="C44" s="54"/>
      <c r="D44" s="54"/>
      <c r="E44" s="54"/>
      <c r="F44" s="54"/>
      <c r="G44" s="209" t="s">
        <v>140</v>
      </c>
      <c r="H44" s="209"/>
      <c r="I44" s="209"/>
      <c r="J44" s="209"/>
      <c r="K44" s="209"/>
      <c r="L44" s="78"/>
    </row>
    <row r="45" spans="1:14" x14ac:dyDescent="0.3">
      <c r="A45" s="54"/>
      <c r="B45" s="54"/>
      <c r="C45" s="54"/>
      <c r="D45" s="54"/>
      <c r="E45" s="54"/>
      <c r="F45" s="54"/>
      <c r="G45" s="209"/>
      <c r="H45" s="209"/>
      <c r="I45" s="209"/>
      <c r="J45" s="209"/>
      <c r="K45" s="209"/>
      <c r="L45" s="50"/>
    </row>
    <row r="46" spans="1:14" x14ac:dyDescent="0.3">
      <c r="A46" s="54"/>
      <c r="B46" s="54"/>
      <c r="C46" s="54"/>
      <c r="D46" s="54"/>
      <c r="E46" s="54"/>
      <c r="F46" s="54"/>
      <c r="G46" s="209"/>
      <c r="H46" s="209"/>
      <c r="I46" s="209"/>
      <c r="J46" s="209"/>
      <c r="K46" s="209"/>
      <c r="L46" s="50"/>
    </row>
    <row r="47" spans="1:14" x14ac:dyDescent="0.3">
      <c r="A47" s="49"/>
      <c r="B47" s="49"/>
      <c r="C47" s="49"/>
      <c r="D47" s="49"/>
      <c r="E47" s="49"/>
      <c r="F47" s="49"/>
      <c r="G47" s="209"/>
      <c r="H47" s="209"/>
      <c r="I47" s="209"/>
      <c r="J47" s="209"/>
      <c r="K47" s="209"/>
      <c r="L47" s="50"/>
    </row>
    <row r="48" spans="1:14" x14ac:dyDescent="0.3">
      <c r="A48" s="49"/>
      <c r="B48" s="49"/>
      <c r="C48" s="49"/>
      <c r="D48" s="49"/>
      <c r="E48" s="49"/>
      <c r="F48" s="49"/>
      <c r="G48" s="209"/>
      <c r="H48" s="209"/>
      <c r="I48" s="209"/>
      <c r="J48" s="209"/>
      <c r="K48" s="209"/>
      <c r="L48" s="50"/>
    </row>
    <row r="49" spans="1:12" x14ac:dyDescent="0.3">
      <c r="A49" s="49"/>
      <c r="B49" s="49"/>
      <c r="C49" s="49"/>
      <c r="D49" s="49"/>
      <c r="E49" s="49"/>
      <c r="F49" s="49"/>
      <c r="G49" s="49"/>
      <c r="H49" s="49"/>
      <c r="I49" s="82"/>
      <c r="J49" s="82"/>
      <c r="K49" s="82"/>
      <c r="L49" s="50"/>
    </row>
    <row r="50" spans="1:12" x14ac:dyDescent="0.3">
      <c r="G50" s="78"/>
      <c r="H50" s="78"/>
      <c r="I50" s="78"/>
      <c r="J50" s="78"/>
      <c r="K50" s="78"/>
    </row>
    <row r="51" spans="1:12" x14ac:dyDescent="0.3">
      <c r="A51" t="s">
        <v>152</v>
      </c>
    </row>
    <row r="52" spans="1:12" x14ac:dyDescent="0.3">
      <c r="A52" t="s">
        <v>153</v>
      </c>
    </row>
  </sheetData>
  <mergeCells count="32">
    <mergeCell ref="K10:K12"/>
    <mergeCell ref="A1:D1"/>
    <mergeCell ref="H1:K2"/>
    <mergeCell ref="H4:H5"/>
    <mergeCell ref="I4:I5"/>
    <mergeCell ref="J4:J5"/>
    <mergeCell ref="K4:K5"/>
    <mergeCell ref="L4:L7"/>
    <mergeCell ref="H6:H7"/>
    <mergeCell ref="I6:I7"/>
    <mergeCell ref="J6:J7"/>
    <mergeCell ref="K6:K7"/>
    <mergeCell ref="A27:D37"/>
    <mergeCell ref="H28:H29"/>
    <mergeCell ref="I28:I29"/>
    <mergeCell ref="J28:J29"/>
    <mergeCell ref="K28:K29"/>
    <mergeCell ref="G14:G15"/>
    <mergeCell ref="K14:K18"/>
    <mergeCell ref="G16:J18"/>
    <mergeCell ref="G20:K24"/>
    <mergeCell ref="L21:L24"/>
    <mergeCell ref="L38:L41"/>
    <mergeCell ref="G40:J42"/>
    <mergeCell ref="G44:K48"/>
    <mergeCell ref="H30:H31"/>
    <mergeCell ref="I30:I31"/>
    <mergeCell ref="J30:J31"/>
    <mergeCell ref="K30:K31"/>
    <mergeCell ref="K34:K36"/>
    <mergeCell ref="G38:G39"/>
    <mergeCell ref="K38:K42"/>
  </mergeCells>
  <phoneticPr fontId="1" type="noConversion"/>
  <pageMargins left="0.7" right="0.7" top="0.75" bottom="0.75" header="0.3" footer="0.3"/>
  <pageSetup paperSize="285"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139AE-22AE-49C5-B6BE-76EE1B5C9D2A}">
  <dimension ref="A1:O46"/>
  <sheetViews>
    <sheetView topLeftCell="A6" workbookViewId="0">
      <selection activeCell="H30" sqref="H30"/>
    </sheetView>
  </sheetViews>
  <sheetFormatPr defaultRowHeight="16.5" x14ac:dyDescent="0.3"/>
  <cols>
    <col min="1" max="1" width="15.875" bestFit="1" customWidth="1"/>
    <col min="2" max="2" width="9.75" bestFit="1" customWidth="1"/>
    <col min="3" max="3" width="9.875" bestFit="1" customWidth="1"/>
    <col min="4" max="4" width="16.5" bestFit="1" customWidth="1"/>
    <col min="5" max="6" width="16.625" bestFit="1" customWidth="1"/>
    <col min="7" max="7" width="9" bestFit="1" customWidth="1"/>
    <col min="8" max="9" width="22" bestFit="1" customWidth="1"/>
    <col min="10" max="11" width="9.25" bestFit="1" customWidth="1"/>
    <col min="12" max="12" width="7.75" bestFit="1" customWidth="1"/>
    <col min="13" max="13" width="7.125" bestFit="1" customWidth="1"/>
    <col min="14" max="14" width="11.625" bestFit="1" customWidth="1"/>
    <col min="15" max="15" width="7.125" bestFit="1" customWidth="1"/>
    <col min="16" max="17" width="13.75" bestFit="1" customWidth="1"/>
  </cols>
  <sheetData>
    <row r="1" spans="1:15" x14ac:dyDescent="0.3">
      <c r="A1" s="230" t="s">
        <v>154</v>
      </c>
      <c r="B1" s="231"/>
      <c r="C1" s="231"/>
      <c r="D1" s="231"/>
      <c r="E1" s="231"/>
      <c r="F1" s="231"/>
    </row>
    <row r="2" spans="1:15" x14ac:dyDescent="0.3">
      <c r="A2" s="231"/>
      <c r="B2" s="231"/>
      <c r="C2" s="231"/>
      <c r="D2" s="231"/>
      <c r="E2" s="231"/>
      <c r="F2" s="231"/>
    </row>
    <row r="3" spans="1:15" ht="27" thickBot="1" x14ac:dyDescent="0.35">
      <c r="A3" s="84" t="s">
        <v>155</v>
      </c>
      <c r="B3" s="85"/>
      <c r="C3" s="85"/>
      <c r="D3" s="85"/>
      <c r="E3" s="85"/>
      <c r="F3" s="86"/>
    </row>
    <row r="4" spans="1:15" ht="17.25" customHeight="1" thickBot="1" x14ac:dyDescent="0.35">
      <c r="A4" s="87"/>
      <c r="B4" s="87" t="s">
        <v>156</v>
      </c>
      <c r="C4" s="51" t="s">
        <v>157</v>
      </c>
      <c r="D4" s="52" t="s">
        <v>158</v>
      </c>
      <c r="E4" s="52" t="s">
        <v>159</v>
      </c>
      <c r="F4" s="53" t="s">
        <v>160</v>
      </c>
      <c r="G4" s="87" t="s">
        <v>161</v>
      </c>
      <c r="H4" s="232" t="s">
        <v>162</v>
      </c>
      <c r="I4" s="233"/>
    </row>
    <row r="5" spans="1:15" ht="16.5" customHeight="1" x14ac:dyDescent="0.3">
      <c r="A5" s="88" t="s">
        <v>163</v>
      </c>
      <c r="B5" s="88">
        <v>300</v>
      </c>
      <c r="C5" s="89">
        <v>45</v>
      </c>
      <c r="D5" s="90">
        <v>2</v>
      </c>
      <c r="E5" s="90">
        <f>D5*4</f>
        <v>8</v>
      </c>
      <c r="F5" s="91">
        <f>C5+E5</f>
        <v>53</v>
      </c>
      <c r="G5" s="92">
        <f>F5/B5</f>
        <v>0.17666666666666667</v>
      </c>
      <c r="H5" s="234"/>
      <c r="I5" s="235"/>
    </row>
    <row r="6" spans="1:15" ht="16.5" customHeight="1" x14ac:dyDescent="0.3">
      <c r="A6" s="93" t="s">
        <v>164</v>
      </c>
      <c r="B6" s="93">
        <v>100</v>
      </c>
      <c r="C6" s="94">
        <v>5</v>
      </c>
      <c r="D6" s="65">
        <v>0</v>
      </c>
      <c r="E6" s="65">
        <v>0</v>
      </c>
      <c r="F6" s="95">
        <f t="shared" ref="F6:F7" si="0">C6+E6</f>
        <v>5</v>
      </c>
      <c r="G6" s="96">
        <f>F6/B6</f>
        <v>0.05</v>
      </c>
      <c r="H6" s="234"/>
      <c r="I6" s="235"/>
    </row>
    <row r="7" spans="1:15" ht="17.25" customHeight="1" thickBot="1" x14ac:dyDescent="0.35">
      <c r="A7" s="97" t="s">
        <v>165</v>
      </c>
      <c r="B7" s="97">
        <v>100</v>
      </c>
      <c r="C7" s="98">
        <v>5</v>
      </c>
      <c r="D7" s="99">
        <v>0</v>
      </c>
      <c r="E7" s="99">
        <v>0</v>
      </c>
      <c r="F7" s="100">
        <f t="shared" si="0"/>
        <v>5</v>
      </c>
      <c r="G7" s="101">
        <f>F7/B7</f>
        <v>0.05</v>
      </c>
      <c r="H7" s="236"/>
      <c r="I7" s="237"/>
    </row>
    <row r="8" spans="1:15" ht="17.25" thickBot="1" x14ac:dyDescent="0.35"/>
    <row r="9" spans="1:15" ht="17.25" thickBot="1" x14ac:dyDescent="0.35">
      <c r="A9" s="102"/>
      <c r="B9" s="103" t="s">
        <v>166</v>
      </c>
      <c r="C9" s="104" t="s">
        <v>167</v>
      </c>
      <c r="D9" s="105" t="s">
        <v>168</v>
      </c>
      <c r="E9" s="106" t="s">
        <v>169</v>
      </c>
      <c r="F9" s="107" t="s">
        <v>170</v>
      </c>
      <c r="G9" s="108" t="s">
        <v>171</v>
      </c>
      <c r="H9" s="109" t="s">
        <v>172</v>
      </c>
      <c r="I9" s="110" t="s">
        <v>173</v>
      </c>
      <c r="J9" s="111" t="s">
        <v>171</v>
      </c>
      <c r="K9" s="112" t="s">
        <v>174</v>
      </c>
      <c r="L9" s="113" t="s">
        <v>175</v>
      </c>
      <c r="M9" s="113" t="s">
        <v>161</v>
      </c>
    </row>
    <row r="10" spans="1:15" x14ac:dyDescent="0.3">
      <c r="A10" s="114" t="s">
        <v>163</v>
      </c>
      <c r="B10" s="115">
        <v>300</v>
      </c>
      <c r="C10" s="116"/>
      <c r="D10" s="117">
        <f>B10+C10</f>
        <v>300</v>
      </c>
      <c r="E10" s="118">
        <v>45</v>
      </c>
      <c r="F10" s="119">
        <v>2</v>
      </c>
      <c r="G10" s="120">
        <f>F10*4</f>
        <v>8</v>
      </c>
      <c r="H10" s="121">
        <v>0</v>
      </c>
      <c r="I10" s="122">
        <v>0</v>
      </c>
      <c r="J10" s="123">
        <f>I10*4</f>
        <v>0</v>
      </c>
      <c r="K10" s="124">
        <v>0</v>
      </c>
      <c r="L10" s="125">
        <f>E10+G10+H10+J10+K10</f>
        <v>53</v>
      </c>
      <c r="M10" s="126">
        <f>L10/D10</f>
        <v>0.17666666666666667</v>
      </c>
    </row>
    <row r="11" spans="1:15" x14ac:dyDescent="0.3">
      <c r="A11" s="127" t="s">
        <v>164</v>
      </c>
      <c r="B11" s="128">
        <v>100</v>
      </c>
      <c r="C11" s="129">
        <v>10</v>
      </c>
      <c r="D11" s="130">
        <f t="shared" ref="D11:D12" si="1">B11+C11</f>
        <v>110</v>
      </c>
      <c r="E11" s="131">
        <v>5</v>
      </c>
      <c r="F11" s="132">
        <v>0</v>
      </c>
      <c r="G11" s="133">
        <f t="shared" ref="G11:G12" si="2">F11*4</f>
        <v>0</v>
      </c>
      <c r="H11" s="134">
        <v>2</v>
      </c>
      <c r="I11" s="135">
        <v>1</v>
      </c>
      <c r="J11" s="136">
        <f t="shared" ref="J11:J12" si="3">I11*4</f>
        <v>4</v>
      </c>
      <c r="K11" s="124">
        <v>2</v>
      </c>
      <c r="L11" s="125">
        <f t="shared" ref="L11:L12" si="4">E11+G11+H11+J11+K11</f>
        <v>13</v>
      </c>
      <c r="M11" s="126">
        <f t="shared" ref="M11:M12" si="5">L11/D11</f>
        <v>0.11818181818181818</v>
      </c>
    </row>
    <row r="12" spans="1:15" ht="17.25" thickBot="1" x14ac:dyDescent="0.35">
      <c r="A12" s="137" t="s">
        <v>165</v>
      </c>
      <c r="B12" s="138">
        <v>100</v>
      </c>
      <c r="C12" s="139">
        <v>10</v>
      </c>
      <c r="D12" s="140">
        <f t="shared" si="1"/>
        <v>110</v>
      </c>
      <c r="E12" s="141">
        <v>5</v>
      </c>
      <c r="F12" s="142">
        <v>0</v>
      </c>
      <c r="G12" s="143">
        <f t="shared" si="2"/>
        <v>0</v>
      </c>
      <c r="H12" s="144">
        <v>2</v>
      </c>
      <c r="I12" s="145">
        <v>1</v>
      </c>
      <c r="J12" s="146">
        <f t="shared" si="3"/>
        <v>4</v>
      </c>
      <c r="K12" s="147">
        <v>2</v>
      </c>
      <c r="L12" s="148">
        <f t="shared" si="4"/>
        <v>13</v>
      </c>
      <c r="M12" s="149">
        <f t="shared" si="5"/>
        <v>0.11818181818181818</v>
      </c>
    </row>
    <row r="13" spans="1:15" ht="17.25" thickBot="1" x14ac:dyDescent="0.35">
      <c r="A13" s="47"/>
      <c r="B13" s="47"/>
      <c r="C13" s="47"/>
      <c r="D13" s="47"/>
      <c r="E13" s="47"/>
      <c r="F13" s="47"/>
      <c r="G13" s="47"/>
      <c r="H13" s="47"/>
      <c r="I13" s="47"/>
      <c r="J13" s="47"/>
      <c r="K13" s="47"/>
      <c r="L13" s="47"/>
      <c r="M13" s="150"/>
    </row>
    <row r="14" spans="1:15" ht="16.5" customHeight="1" x14ac:dyDescent="0.3">
      <c r="A14" s="238" t="s">
        <v>176</v>
      </c>
      <c r="B14" s="239"/>
      <c r="C14" s="239"/>
      <c r="D14" s="239"/>
      <c r="E14" s="240" t="s">
        <v>177</v>
      </c>
      <c r="F14" s="240"/>
      <c r="G14" s="240"/>
      <c r="H14" s="240"/>
      <c r="I14" s="151"/>
      <c r="J14" s="217" t="s">
        <v>178</v>
      </c>
      <c r="K14" s="218"/>
      <c r="L14" s="218"/>
      <c r="M14" s="219"/>
      <c r="N14" s="152"/>
      <c r="O14" s="152"/>
    </row>
    <row r="15" spans="1:15" ht="16.5" customHeight="1" x14ac:dyDescent="0.3">
      <c r="A15" s="239"/>
      <c r="B15" s="239"/>
      <c r="C15" s="239"/>
      <c r="D15" s="239"/>
      <c r="E15" s="240"/>
      <c r="F15" s="240"/>
      <c r="G15" s="240"/>
      <c r="H15" s="240"/>
      <c r="I15" s="151"/>
      <c r="J15" s="220"/>
      <c r="K15" s="221"/>
      <c r="L15" s="221"/>
      <c r="M15" s="222"/>
      <c r="N15" s="152"/>
      <c r="O15" s="152"/>
    </row>
    <row r="16" spans="1:15" ht="16.5" customHeight="1" x14ac:dyDescent="0.3">
      <c r="A16" s="239"/>
      <c r="B16" s="239"/>
      <c r="C16" s="239"/>
      <c r="D16" s="239"/>
      <c r="E16" s="240"/>
      <c r="F16" s="240"/>
      <c r="G16" s="240"/>
      <c r="H16" s="240"/>
      <c r="I16" s="151"/>
      <c r="J16" s="220"/>
      <c r="K16" s="221"/>
      <c r="L16" s="221"/>
      <c r="M16" s="222"/>
      <c r="N16" s="152"/>
      <c r="O16" s="152"/>
    </row>
    <row r="17" spans="1:15" ht="16.5" customHeight="1" x14ac:dyDescent="0.3">
      <c r="A17" s="239"/>
      <c r="B17" s="239"/>
      <c r="C17" s="239"/>
      <c r="D17" s="239"/>
      <c r="E17" s="240"/>
      <c r="F17" s="240"/>
      <c r="G17" s="240"/>
      <c r="H17" s="240"/>
      <c r="I17" s="151"/>
      <c r="J17" s="220"/>
      <c r="K17" s="221"/>
      <c r="L17" s="221"/>
      <c r="M17" s="222"/>
      <c r="N17" s="152"/>
      <c r="O17" s="152"/>
    </row>
    <row r="18" spans="1:15" ht="17.25" thickBot="1" x14ac:dyDescent="0.35">
      <c r="H18" s="150"/>
      <c r="J18" s="223"/>
      <c r="K18" s="224"/>
      <c r="L18" s="224"/>
      <c r="M18" s="225"/>
      <c r="N18" s="152"/>
      <c r="O18" s="152"/>
    </row>
    <row r="19" spans="1:15" ht="17.25" thickBot="1" x14ac:dyDescent="0.35">
      <c r="A19" s="153" t="s">
        <v>179</v>
      </c>
      <c r="B19" s="154" t="s">
        <v>180</v>
      </c>
      <c r="C19" s="155" t="s">
        <v>181</v>
      </c>
    </row>
    <row r="20" spans="1:15" x14ac:dyDescent="0.3">
      <c r="A20" s="156" t="s">
        <v>163</v>
      </c>
      <c r="B20" s="157">
        <v>8</v>
      </c>
      <c r="C20" s="158">
        <v>2</v>
      </c>
    </row>
    <row r="21" spans="1:15" x14ac:dyDescent="0.3">
      <c r="A21" s="159" t="s">
        <v>164</v>
      </c>
      <c r="B21" s="13">
        <v>2</v>
      </c>
      <c r="C21" s="160">
        <v>1</v>
      </c>
    </row>
    <row r="22" spans="1:15" ht="17.25" thickBot="1" x14ac:dyDescent="0.35">
      <c r="A22" s="161" t="s">
        <v>165</v>
      </c>
      <c r="B22" s="3">
        <v>2</v>
      </c>
      <c r="C22" s="2">
        <v>1</v>
      </c>
    </row>
    <row r="23" spans="1:15" ht="17.25" thickBot="1" x14ac:dyDescent="0.35"/>
    <row r="24" spans="1:15" ht="17.25" thickBot="1" x14ac:dyDescent="0.35">
      <c r="A24" s="162" t="s">
        <v>163</v>
      </c>
      <c r="B24" s="163" t="s">
        <v>28</v>
      </c>
      <c r="C24" s="163" t="s">
        <v>29</v>
      </c>
      <c r="D24" s="164" t="s">
        <v>77</v>
      </c>
      <c r="E24" s="162" t="s">
        <v>164</v>
      </c>
      <c r="F24" s="163" t="s">
        <v>28</v>
      </c>
      <c r="G24" s="163" t="s">
        <v>29</v>
      </c>
      <c r="H24" s="164" t="s">
        <v>77</v>
      </c>
      <c r="I24" s="162" t="s">
        <v>165</v>
      </c>
      <c r="J24" s="163" t="s">
        <v>28</v>
      </c>
      <c r="K24" s="163" t="s">
        <v>29</v>
      </c>
      <c r="L24" s="164" t="s">
        <v>77</v>
      </c>
    </row>
    <row r="25" spans="1:15" ht="17.25" thickBot="1" x14ac:dyDescent="0.35">
      <c r="A25" s="165">
        <v>1</v>
      </c>
      <c r="B25" s="21">
        <v>5000</v>
      </c>
      <c r="C25" s="21">
        <v>10500</v>
      </c>
      <c r="D25" s="166"/>
      <c r="E25" s="165">
        <v>1</v>
      </c>
      <c r="F25" s="21">
        <v>5000</v>
      </c>
      <c r="G25" s="21">
        <v>11720</v>
      </c>
      <c r="H25" s="166"/>
      <c r="I25" s="165">
        <v>1</v>
      </c>
      <c r="J25" s="21">
        <v>5000</v>
      </c>
      <c r="K25" s="21">
        <v>13000</v>
      </c>
      <c r="L25" s="166"/>
    </row>
    <row r="26" spans="1:15" ht="17.25" thickBot="1" x14ac:dyDescent="0.35">
      <c r="A26" s="167">
        <v>2</v>
      </c>
      <c r="B26" s="23">
        <f>C25</f>
        <v>10500</v>
      </c>
      <c r="C26" s="23">
        <v>16550</v>
      </c>
      <c r="D26" s="168"/>
      <c r="E26" s="167">
        <v>2</v>
      </c>
      <c r="F26" s="23">
        <f>G25</f>
        <v>11720</v>
      </c>
      <c r="G26" s="23">
        <v>19250</v>
      </c>
      <c r="H26" s="168"/>
      <c r="I26" s="167">
        <v>2</v>
      </c>
      <c r="J26" s="23">
        <f>K25</f>
        <v>13000</v>
      </c>
      <c r="K26" s="23">
        <v>22100</v>
      </c>
      <c r="L26" s="168"/>
    </row>
    <row r="27" spans="1:15" ht="17.25" thickBot="1" x14ac:dyDescent="0.35">
      <c r="A27" s="165">
        <v>3</v>
      </c>
      <c r="B27" s="21">
        <f t="shared" ref="B27:B45" si="6">C26</f>
        <v>16550</v>
      </c>
      <c r="C27" s="21">
        <v>23200</v>
      </c>
      <c r="D27" s="166">
        <v>1</v>
      </c>
      <c r="E27" s="165">
        <v>3</v>
      </c>
      <c r="F27" s="21">
        <f t="shared" ref="F27:F41" si="7">G26</f>
        <v>19250</v>
      </c>
      <c r="G27" s="21">
        <v>27700</v>
      </c>
      <c r="H27" s="166"/>
      <c r="I27" s="165">
        <v>3</v>
      </c>
      <c r="J27" s="21">
        <f t="shared" ref="J27:J39" si="8">K26</f>
        <v>22100</v>
      </c>
      <c r="K27" s="21">
        <v>32450</v>
      </c>
      <c r="L27" s="166"/>
    </row>
    <row r="28" spans="1:15" ht="17.25" thickBot="1" x14ac:dyDescent="0.35">
      <c r="A28" s="167">
        <v>4</v>
      </c>
      <c r="B28" s="23">
        <f t="shared" si="6"/>
        <v>23200</v>
      </c>
      <c r="C28" s="23">
        <v>30550</v>
      </c>
      <c r="D28" s="168"/>
      <c r="E28" s="167">
        <v>4</v>
      </c>
      <c r="F28" s="23">
        <f t="shared" si="7"/>
        <v>27700</v>
      </c>
      <c r="G28" s="23">
        <v>37150</v>
      </c>
      <c r="H28" s="168">
        <v>1</v>
      </c>
      <c r="I28" s="167">
        <v>4</v>
      </c>
      <c r="J28" s="23">
        <f t="shared" si="8"/>
        <v>32450</v>
      </c>
      <c r="K28" s="23">
        <v>44300</v>
      </c>
      <c r="L28" s="168"/>
    </row>
    <row r="29" spans="1:15" ht="17.25" thickBot="1" x14ac:dyDescent="0.35">
      <c r="A29" s="165">
        <v>5</v>
      </c>
      <c r="B29" s="21">
        <f t="shared" si="6"/>
        <v>30550</v>
      </c>
      <c r="C29" s="21">
        <v>38600</v>
      </c>
      <c r="D29" s="166">
        <v>1</v>
      </c>
      <c r="E29" s="165">
        <v>5</v>
      </c>
      <c r="F29" s="21">
        <f t="shared" si="7"/>
        <v>37150</v>
      </c>
      <c r="G29" s="21">
        <v>47700</v>
      </c>
      <c r="H29" s="166"/>
      <c r="I29" s="165">
        <v>5</v>
      </c>
      <c r="J29" s="21">
        <f t="shared" si="8"/>
        <v>44300</v>
      </c>
      <c r="K29" s="21">
        <v>57750</v>
      </c>
      <c r="L29" s="166">
        <v>1</v>
      </c>
    </row>
    <row r="30" spans="1:15" ht="17.25" thickBot="1" x14ac:dyDescent="0.35">
      <c r="A30" s="167">
        <v>6</v>
      </c>
      <c r="B30" s="23">
        <f t="shared" si="6"/>
        <v>38600</v>
      </c>
      <c r="C30" s="23">
        <v>47450</v>
      </c>
      <c r="D30" s="168"/>
      <c r="E30" s="167">
        <v>6</v>
      </c>
      <c r="F30" s="23">
        <f t="shared" si="7"/>
        <v>47700</v>
      </c>
      <c r="G30" s="23">
        <v>59550</v>
      </c>
      <c r="H30" s="168"/>
      <c r="I30" s="167">
        <v>6</v>
      </c>
      <c r="J30" s="23">
        <f t="shared" si="8"/>
        <v>57750</v>
      </c>
      <c r="K30" s="23">
        <v>73150</v>
      </c>
      <c r="L30" s="168"/>
    </row>
    <row r="31" spans="1:15" ht="17.25" thickBot="1" x14ac:dyDescent="0.35">
      <c r="A31" s="165">
        <v>7</v>
      </c>
      <c r="B31" s="21">
        <f t="shared" si="6"/>
        <v>47450</v>
      </c>
      <c r="C31" s="21">
        <v>57200</v>
      </c>
      <c r="D31" s="166"/>
      <c r="E31" s="165">
        <v>7</v>
      </c>
      <c r="F31" s="21">
        <f t="shared" si="7"/>
        <v>59550</v>
      </c>
      <c r="G31" s="21">
        <v>72800</v>
      </c>
      <c r="H31" s="166"/>
      <c r="I31" s="165">
        <v>7</v>
      </c>
      <c r="J31" s="21">
        <f t="shared" si="8"/>
        <v>73150</v>
      </c>
      <c r="K31" s="21">
        <v>90650</v>
      </c>
      <c r="L31" s="166"/>
    </row>
    <row r="32" spans="1:15" ht="17.25" thickBot="1" x14ac:dyDescent="0.35">
      <c r="A32" s="167">
        <v>8</v>
      </c>
      <c r="B32" s="23">
        <f t="shared" si="6"/>
        <v>57200</v>
      </c>
      <c r="C32" s="23">
        <v>67900</v>
      </c>
      <c r="D32" s="168">
        <v>1</v>
      </c>
      <c r="E32" s="167">
        <v>8</v>
      </c>
      <c r="F32" s="23">
        <f t="shared" si="7"/>
        <v>72800</v>
      </c>
      <c r="G32" s="23">
        <v>87650</v>
      </c>
      <c r="H32" s="168"/>
      <c r="I32" s="167">
        <v>8</v>
      </c>
      <c r="J32" s="23">
        <f t="shared" si="8"/>
        <v>90650</v>
      </c>
      <c r="K32" s="23">
        <v>110600</v>
      </c>
      <c r="L32" s="168"/>
    </row>
    <row r="33" spans="1:12" ht="17.25" thickBot="1" x14ac:dyDescent="0.35">
      <c r="A33" s="165">
        <v>9</v>
      </c>
      <c r="B33" s="21">
        <f t="shared" si="6"/>
        <v>67900</v>
      </c>
      <c r="C33" s="21">
        <v>79700</v>
      </c>
      <c r="D33" s="166"/>
      <c r="E33" s="165">
        <v>9</v>
      </c>
      <c r="F33" s="21">
        <f t="shared" si="7"/>
        <v>87650</v>
      </c>
      <c r="G33" s="21">
        <v>104300</v>
      </c>
      <c r="H33" s="166">
        <v>1</v>
      </c>
      <c r="I33" s="165">
        <v>9</v>
      </c>
      <c r="J33" s="21">
        <f t="shared" si="8"/>
        <v>110600</v>
      </c>
      <c r="K33" s="21">
        <v>133400</v>
      </c>
      <c r="L33" s="166"/>
    </row>
    <row r="34" spans="1:12" ht="17.25" thickBot="1" x14ac:dyDescent="0.35">
      <c r="A34" s="167">
        <v>10</v>
      </c>
      <c r="B34" s="23">
        <f t="shared" si="6"/>
        <v>79700</v>
      </c>
      <c r="C34" s="23">
        <v>92700</v>
      </c>
      <c r="D34" s="168"/>
      <c r="E34" s="167">
        <v>10</v>
      </c>
      <c r="F34" s="23">
        <f t="shared" si="7"/>
        <v>104300</v>
      </c>
      <c r="G34" s="23">
        <v>122950</v>
      </c>
      <c r="H34" s="168"/>
      <c r="I34" s="167">
        <v>10</v>
      </c>
      <c r="J34" s="23">
        <f t="shared" si="8"/>
        <v>133400</v>
      </c>
      <c r="K34" s="23">
        <v>159350</v>
      </c>
      <c r="L34" s="168"/>
    </row>
    <row r="35" spans="1:12" ht="17.25" thickBot="1" x14ac:dyDescent="0.35">
      <c r="A35" s="165">
        <v>11</v>
      </c>
      <c r="B35" s="21">
        <f t="shared" si="6"/>
        <v>92700</v>
      </c>
      <c r="C35" s="21">
        <v>106950</v>
      </c>
      <c r="D35" s="166">
        <v>2</v>
      </c>
      <c r="E35" s="165">
        <v>11</v>
      </c>
      <c r="F35" s="21">
        <f t="shared" si="7"/>
        <v>122950</v>
      </c>
      <c r="G35" s="21">
        <v>143800</v>
      </c>
      <c r="H35" s="166"/>
      <c r="I35" s="165">
        <v>11</v>
      </c>
      <c r="J35" s="21">
        <f t="shared" si="8"/>
        <v>159350</v>
      </c>
      <c r="K35" s="21">
        <v>188900</v>
      </c>
      <c r="L35" s="166"/>
    </row>
    <row r="36" spans="1:12" ht="17.25" thickBot="1" x14ac:dyDescent="0.35">
      <c r="A36" s="167">
        <v>12</v>
      </c>
      <c r="B36" s="23">
        <f t="shared" si="6"/>
        <v>106950</v>
      </c>
      <c r="C36" s="23">
        <v>122650</v>
      </c>
      <c r="D36" s="168"/>
      <c r="E36" s="167">
        <v>12</v>
      </c>
      <c r="F36" s="23">
        <f t="shared" si="7"/>
        <v>143800</v>
      </c>
      <c r="G36" s="23">
        <v>167200</v>
      </c>
      <c r="H36" s="168"/>
      <c r="I36" s="167">
        <v>12</v>
      </c>
      <c r="J36" s="23">
        <f t="shared" si="8"/>
        <v>188900</v>
      </c>
      <c r="K36" s="23">
        <v>222660</v>
      </c>
      <c r="L36" s="168">
        <v>1</v>
      </c>
    </row>
    <row r="37" spans="1:12" ht="17.25" thickBot="1" x14ac:dyDescent="0.35">
      <c r="A37" s="165">
        <v>13</v>
      </c>
      <c r="B37" s="21">
        <f t="shared" si="6"/>
        <v>122650</v>
      </c>
      <c r="C37" s="21">
        <v>139900</v>
      </c>
      <c r="D37" s="166"/>
      <c r="E37" s="165">
        <v>13</v>
      </c>
      <c r="F37" s="21">
        <f t="shared" si="7"/>
        <v>167200</v>
      </c>
      <c r="G37" s="21">
        <v>193400</v>
      </c>
      <c r="H37" s="166"/>
      <c r="I37" s="165">
        <v>13</v>
      </c>
      <c r="J37" s="21">
        <f t="shared" si="8"/>
        <v>222660</v>
      </c>
      <c r="K37" s="21">
        <v>261100</v>
      </c>
      <c r="L37" s="166"/>
    </row>
    <row r="38" spans="1:12" ht="17.25" thickBot="1" x14ac:dyDescent="0.35">
      <c r="A38" s="167">
        <v>14</v>
      </c>
      <c r="B38" s="23">
        <f t="shared" si="6"/>
        <v>139900</v>
      </c>
      <c r="C38" s="23">
        <v>158900</v>
      </c>
      <c r="D38" s="168"/>
      <c r="E38" s="167">
        <v>14</v>
      </c>
      <c r="F38" s="23">
        <f t="shared" si="7"/>
        <v>193400</v>
      </c>
      <c r="G38" s="23">
        <v>222700</v>
      </c>
      <c r="H38" s="168"/>
      <c r="I38" s="167">
        <v>14</v>
      </c>
      <c r="J38" s="23">
        <f t="shared" si="8"/>
        <v>261100</v>
      </c>
      <c r="K38" s="23">
        <v>304900</v>
      </c>
      <c r="L38" s="168"/>
    </row>
    <row r="39" spans="1:12" ht="17.25" thickBot="1" x14ac:dyDescent="0.35">
      <c r="A39" s="165">
        <v>15</v>
      </c>
      <c r="B39" s="21">
        <f t="shared" si="6"/>
        <v>158900</v>
      </c>
      <c r="C39" s="21">
        <v>179750</v>
      </c>
      <c r="D39" s="166"/>
      <c r="E39" s="165">
        <v>15</v>
      </c>
      <c r="F39" s="21">
        <f t="shared" si="7"/>
        <v>222700</v>
      </c>
      <c r="G39" s="21">
        <v>255550</v>
      </c>
      <c r="H39" s="166"/>
      <c r="I39" s="169">
        <v>15</v>
      </c>
      <c r="J39" s="170">
        <f t="shared" si="8"/>
        <v>304900</v>
      </c>
      <c r="K39" s="170">
        <v>354900</v>
      </c>
      <c r="L39" s="171"/>
    </row>
    <row r="40" spans="1:12" ht="17.25" thickBot="1" x14ac:dyDescent="0.35">
      <c r="A40" s="167">
        <v>16</v>
      </c>
      <c r="B40" s="23">
        <f t="shared" si="6"/>
        <v>179750</v>
      </c>
      <c r="C40" s="23">
        <v>202750</v>
      </c>
      <c r="D40" s="168"/>
      <c r="E40" s="167">
        <v>16</v>
      </c>
      <c r="F40" s="23">
        <f t="shared" si="7"/>
        <v>255550</v>
      </c>
      <c r="G40" s="23">
        <v>292300</v>
      </c>
      <c r="H40" s="168"/>
      <c r="I40" s="226" t="s">
        <v>182</v>
      </c>
      <c r="J40" s="227"/>
      <c r="K40" s="227"/>
      <c r="L40" s="172">
        <f>SUM(L25:L39)</f>
        <v>2</v>
      </c>
    </row>
    <row r="41" spans="1:12" ht="17.25" thickBot="1" x14ac:dyDescent="0.35">
      <c r="A41" s="165">
        <v>17</v>
      </c>
      <c r="B41" s="21">
        <f t="shared" si="6"/>
        <v>202750</v>
      </c>
      <c r="C41" s="21">
        <v>228000</v>
      </c>
      <c r="D41" s="166">
        <v>1</v>
      </c>
      <c r="E41" s="169">
        <v>17</v>
      </c>
      <c r="F41" s="170">
        <f t="shared" si="7"/>
        <v>292300</v>
      </c>
      <c r="G41" s="170">
        <v>333500</v>
      </c>
      <c r="H41" s="171"/>
    </row>
    <row r="42" spans="1:12" ht="17.25" thickBot="1" x14ac:dyDescent="0.35">
      <c r="A42" s="167">
        <v>18</v>
      </c>
      <c r="B42" s="23">
        <f t="shared" si="6"/>
        <v>228000</v>
      </c>
      <c r="C42" s="23">
        <v>255800</v>
      </c>
      <c r="D42" s="168"/>
      <c r="E42" s="226" t="s">
        <v>182</v>
      </c>
      <c r="F42" s="227"/>
      <c r="G42" s="227"/>
      <c r="H42" s="172">
        <f>SUM(H25:H41)</f>
        <v>2</v>
      </c>
    </row>
    <row r="43" spans="1:12" ht="17.25" thickBot="1" x14ac:dyDescent="0.35">
      <c r="A43" s="165">
        <v>19</v>
      </c>
      <c r="B43" s="21">
        <f t="shared" si="6"/>
        <v>255800</v>
      </c>
      <c r="C43" s="21">
        <v>286400</v>
      </c>
      <c r="D43" s="166"/>
    </row>
    <row r="44" spans="1:12" ht="17.25" thickBot="1" x14ac:dyDescent="0.35">
      <c r="A44" s="167">
        <v>20</v>
      </c>
      <c r="B44" s="23">
        <f t="shared" si="6"/>
        <v>286400</v>
      </c>
      <c r="C44" s="23">
        <v>320000</v>
      </c>
      <c r="D44" s="168"/>
    </row>
    <row r="45" spans="1:12" ht="17.25" thickBot="1" x14ac:dyDescent="0.35">
      <c r="A45" s="169">
        <v>21</v>
      </c>
      <c r="B45" s="170">
        <f t="shared" si="6"/>
        <v>320000</v>
      </c>
      <c r="C45" s="170">
        <v>357000</v>
      </c>
      <c r="D45" s="171">
        <v>2</v>
      </c>
    </row>
    <row r="46" spans="1:12" ht="17.25" thickBot="1" x14ac:dyDescent="0.35">
      <c r="A46" s="228" t="s">
        <v>182</v>
      </c>
      <c r="B46" s="229"/>
      <c r="C46" s="229"/>
      <c r="D46" s="173">
        <f>SUM(D25:D45)</f>
        <v>8</v>
      </c>
      <c r="E46" s="174"/>
      <c r="F46" s="174"/>
      <c r="G46" s="174"/>
      <c r="H46" s="174"/>
      <c r="I46" s="174"/>
      <c r="J46" s="174"/>
      <c r="K46" s="174"/>
    </row>
  </sheetData>
  <mergeCells count="8">
    <mergeCell ref="J14:M18"/>
    <mergeCell ref="I40:K40"/>
    <mergeCell ref="E42:G42"/>
    <mergeCell ref="A46:C46"/>
    <mergeCell ref="A1:F2"/>
    <mergeCell ref="H4:I7"/>
    <mergeCell ref="A14:D17"/>
    <mergeCell ref="E14:H17"/>
  </mergeCells>
  <phoneticPr fontId="1" type="noConversion"/>
  <pageMargins left="0" right="0" top="0" bottom="0" header="0" footer="0"/>
  <pageSetup paperSize="9" orientation="portrait" horizont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237F3-4504-4540-959D-133F961C0C4E}">
  <dimension ref="A1:M47"/>
  <sheetViews>
    <sheetView workbookViewId="0">
      <selection activeCell="A6" sqref="A6"/>
    </sheetView>
  </sheetViews>
  <sheetFormatPr defaultRowHeight="16.5" x14ac:dyDescent="0.3"/>
  <cols>
    <col min="1" max="1" width="20" bestFit="1" customWidth="1"/>
    <col min="2" max="2" width="11.75" bestFit="1" customWidth="1"/>
    <col min="3" max="3" width="10.625" bestFit="1" customWidth="1"/>
    <col min="4" max="4" width="20.75" bestFit="1" customWidth="1"/>
    <col min="5" max="5" width="9" bestFit="1" customWidth="1"/>
    <col min="6" max="6" width="11.75" bestFit="1" customWidth="1"/>
    <col min="7" max="7" width="14.375" bestFit="1" customWidth="1"/>
    <col min="8" max="9" width="14" bestFit="1" customWidth="1"/>
    <col min="10" max="11" width="9.25" bestFit="1" customWidth="1"/>
    <col min="12" max="12" width="7.75" bestFit="1" customWidth="1"/>
    <col min="13" max="14" width="7.125" bestFit="1" customWidth="1"/>
    <col min="15" max="16" width="13.75" bestFit="1" customWidth="1"/>
  </cols>
  <sheetData>
    <row r="1" spans="1:13" x14ac:dyDescent="0.3">
      <c r="A1" s="230" t="s">
        <v>154</v>
      </c>
      <c r="B1" s="231"/>
      <c r="C1" s="231"/>
      <c r="D1" s="231"/>
      <c r="E1" s="231"/>
      <c r="F1" s="231"/>
    </row>
    <row r="2" spans="1:13" x14ac:dyDescent="0.3">
      <c r="A2" s="231"/>
      <c r="B2" s="231"/>
      <c r="C2" s="231"/>
      <c r="D2" s="231"/>
      <c r="E2" s="231"/>
      <c r="F2" s="231"/>
    </row>
    <row r="3" spans="1:13" ht="26.25" x14ac:dyDescent="0.3">
      <c r="A3" s="175"/>
      <c r="B3" s="85"/>
      <c r="C3" s="85"/>
      <c r="D3" s="85"/>
      <c r="E3" s="85"/>
      <c r="F3" s="86"/>
    </row>
    <row r="4" spans="1:13" ht="17.25" thickBot="1" x14ac:dyDescent="0.35">
      <c r="A4" t="s">
        <v>183</v>
      </c>
    </row>
    <row r="5" spans="1:13" ht="34.5" customHeight="1" thickBot="1" x14ac:dyDescent="0.35">
      <c r="A5" s="102"/>
      <c r="B5" s="103" t="s">
        <v>166</v>
      </c>
      <c r="C5" s="104" t="s">
        <v>167</v>
      </c>
      <c r="D5" s="105" t="s">
        <v>168</v>
      </c>
      <c r="E5" s="176" t="s">
        <v>184</v>
      </c>
      <c r="F5" s="177" t="s">
        <v>185</v>
      </c>
      <c r="G5" s="108" t="s">
        <v>171</v>
      </c>
      <c r="H5" s="178" t="s">
        <v>186</v>
      </c>
      <c r="I5" s="179" t="s">
        <v>187</v>
      </c>
      <c r="J5" s="111" t="s">
        <v>171</v>
      </c>
      <c r="K5" s="112" t="s">
        <v>174</v>
      </c>
      <c r="L5" s="113" t="s">
        <v>175</v>
      </c>
      <c r="M5" s="113" t="s">
        <v>161</v>
      </c>
    </row>
    <row r="6" spans="1:13" x14ac:dyDescent="0.3">
      <c r="A6" s="114" t="s">
        <v>163</v>
      </c>
      <c r="B6" s="115">
        <v>300</v>
      </c>
      <c r="C6" s="116"/>
      <c r="D6" s="117">
        <f>B6+C6</f>
        <v>300</v>
      </c>
      <c r="E6" s="118">
        <v>45</v>
      </c>
      <c r="F6" s="119">
        <v>2</v>
      </c>
      <c r="G6" s="120">
        <f>F6*4</f>
        <v>8</v>
      </c>
      <c r="H6" s="121">
        <v>0</v>
      </c>
      <c r="I6" s="122">
        <v>0</v>
      </c>
      <c r="J6" s="123">
        <f>I6*4</f>
        <v>0</v>
      </c>
      <c r="K6" s="124">
        <v>0</v>
      </c>
      <c r="L6" s="125">
        <f>E6+G6+H6+J6+K6</f>
        <v>53</v>
      </c>
      <c r="M6" s="126">
        <f>L6/D6</f>
        <v>0.17666666666666667</v>
      </c>
    </row>
    <row r="7" spans="1:13" x14ac:dyDescent="0.3">
      <c r="A7" s="127" t="s">
        <v>164</v>
      </c>
      <c r="B7" s="128">
        <v>100</v>
      </c>
      <c r="C7" s="129">
        <v>10</v>
      </c>
      <c r="D7" s="130">
        <f t="shared" ref="D7:D8" si="0">B7+C7</f>
        <v>110</v>
      </c>
      <c r="E7" s="131">
        <v>5</v>
      </c>
      <c r="F7" s="132">
        <v>0</v>
      </c>
      <c r="G7" s="133">
        <f t="shared" ref="G7:G8" si="1">F7*4</f>
        <v>0</v>
      </c>
      <c r="H7" s="134">
        <v>2</v>
      </c>
      <c r="I7" s="135">
        <v>1</v>
      </c>
      <c r="J7" s="136">
        <f t="shared" ref="J7:J8" si="2">I7*4</f>
        <v>4</v>
      </c>
      <c r="K7" s="124">
        <v>2</v>
      </c>
      <c r="L7" s="125">
        <f t="shared" ref="L7:L8" si="3">E7+G7+H7+J7+K7</f>
        <v>13</v>
      </c>
      <c r="M7" s="126">
        <f>L7/D7</f>
        <v>0.11818181818181818</v>
      </c>
    </row>
    <row r="8" spans="1:13" ht="17.25" thickBot="1" x14ac:dyDescent="0.35">
      <c r="A8" s="137" t="s">
        <v>165</v>
      </c>
      <c r="B8" s="138">
        <v>100</v>
      </c>
      <c r="C8" s="139">
        <v>10</v>
      </c>
      <c r="D8" s="140">
        <f t="shared" si="0"/>
        <v>110</v>
      </c>
      <c r="E8" s="141">
        <v>5</v>
      </c>
      <c r="F8" s="142">
        <v>0</v>
      </c>
      <c r="G8" s="143">
        <f t="shared" si="1"/>
        <v>0</v>
      </c>
      <c r="H8" s="144">
        <v>2</v>
      </c>
      <c r="I8" s="145">
        <v>1</v>
      </c>
      <c r="J8" s="146">
        <f t="shared" si="2"/>
        <v>4</v>
      </c>
      <c r="K8" s="147">
        <v>2</v>
      </c>
      <c r="L8" s="148">
        <f t="shared" si="3"/>
        <v>13</v>
      </c>
      <c r="M8" s="149">
        <f>L8/D8</f>
        <v>0.11818181818181818</v>
      </c>
    </row>
    <row r="9" spans="1:13" x14ac:dyDescent="0.3">
      <c r="A9" s="47"/>
      <c r="B9" s="47"/>
      <c r="C9" s="47"/>
      <c r="D9" s="47"/>
      <c r="E9" s="47"/>
      <c r="F9" s="47"/>
      <c r="G9" s="47"/>
      <c r="H9" s="47"/>
      <c r="I9" s="47"/>
      <c r="J9" s="47"/>
      <c r="K9" s="47"/>
      <c r="L9" s="150"/>
    </row>
    <row r="10" spans="1:13" x14ac:dyDescent="0.3">
      <c r="A10" s="28" t="s">
        <v>188</v>
      </c>
    </row>
    <row r="11" spans="1:13" x14ac:dyDescent="0.3">
      <c r="A11" s="247" t="s">
        <v>189</v>
      </c>
      <c r="B11" s="13" t="s">
        <v>190</v>
      </c>
      <c r="C11" s="13" t="s">
        <v>191</v>
      </c>
      <c r="D11" s="13" t="s">
        <v>192</v>
      </c>
      <c r="E11" s="13" t="s">
        <v>193</v>
      </c>
      <c r="F11" s="13" t="s">
        <v>194</v>
      </c>
      <c r="G11" s="13" t="s">
        <v>161</v>
      </c>
    </row>
    <row r="12" spans="1:13" x14ac:dyDescent="0.3">
      <c r="A12" s="241"/>
      <c r="B12" s="243"/>
      <c r="C12" s="243"/>
      <c r="D12" s="245"/>
      <c r="E12" s="180"/>
      <c r="F12" s="180"/>
      <c r="G12" s="180"/>
    </row>
    <row r="13" spans="1:13" x14ac:dyDescent="0.3">
      <c r="A13" s="242"/>
      <c r="B13" s="244"/>
      <c r="C13" s="244"/>
      <c r="D13" s="246"/>
      <c r="E13" s="181"/>
      <c r="F13" s="181"/>
      <c r="G13" s="181"/>
    </row>
    <row r="14" spans="1:13" x14ac:dyDescent="0.3">
      <c r="A14" s="241" t="s">
        <v>195</v>
      </c>
      <c r="B14" s="243"/>
      <c r="C14" s="243"/>
      <c r="D14" s="245"/>
      <c r="E14" s="180"/>
      <c r="F14" s="180"/>
      <c r="G14" s="180"/>
    </row>
    <row r="15" spans="1:13" x14ac:dyDescent="0.3">
      <c r="A15" s="242"/>
      <c r="B15" s="244"/>
      <c r="C15" s="244"/>
      <c r="D15" s="246"/>
      <c r="E15" s="181"/>
      <c r="F15" s="181"/>
      <c r="G15" s="181"/>
    </row>
    <row r="16" spans="1:13" x14ac:dyDescent="0.3">
      <c r="A16" s="241" t="s">
        <v>196</v>
      </c>
      <c r="B16" s="243"/>
      <c r="C16" s="243"/>
      <c r="D16" s="245"/>
      <c r="E16" s="180"/>
      <c r="F16" s="180"/>
      <c r="G16" s="180"/>
    </row>
    <row r="17" spans="1:13" x14ac:dyDescent="0.3">
      <c r="A17" s="242"/>
      <c r="B17" s="244"/>
      <c r="C17" s="244"/>
      <c r="D17" s="246"/>
      <c r="E17" s="181"/>
      <c r="F17" s="181"/>
      <c r="G17" s="181"/>
    </row>
    <row r="20" spans="1:13" x14ac:dyDescent="0.3">
      <c r="A20" s="248" t="s">
        <v>197</v>
      </c>
      <c r="B20" s="248"/>
      <c r="D20" s="200" t="s">
        <v>198</v>
      </c>
      <c r="E20" s="200"/>
      <c r="G20" s="200" t="s">
        <v>199</v>
      </c>
      <c r="H20" s="200"/>
    </row>
    <row r="21" spans="1:13" ht="16.5" customHeight="1" x14ac:dyDescent="0.3">
      <c r="A21" s="248"/>
      <c r="B21" s="248"/>
      <c r="C21" s="13" t="s">
        <v>200</v>
      </c>
      <c r="D21" s="13" t="s">
        <v>201</v>
      </c>
      <c r="E21" s="13"/>
      <c r="G21" s="200" t="s">
        <v>202</v>
      </c>
      <c r="H21" s="249"/>
      <c r="I21" s="250" t="s">
        <v>203</v>
      </c>
      <c r="J21" s="251"/>
      <c r="K21" s="251"/>
      <c r="L21" s="251"/>
      <c r="M21" s="252"/>
    </row>
    <row r="22" spans="1:13" x14ac:dyDescent="0.3">
      <c r="A22" s="248"/>
      <c r="B22" s="248"/>
      <c r="C22" s="13" t="s">
        <v>204</v>
      </c>
      <c r="D22" s="13" t="s">
        <v>205</v>
      </c>
      <c r="E22" s="13"/>
      <c r="G22" s="200"/>
      <c r="H22" s="249"/>
      <c r="I22" s="253"/>
      <c r="J22" s="254"/>
      <c r="K22" s="254"/>
      <c r="L22" s="254"/>
      <c r="M22" s="255"/>
    </row>
    <row r="23" spans="1:13" x14ac:dyDescent="0.3">
      <c r="A23" s="248"/>
      <c r="B23" s="248"/>
      <c r="C23" s="13" t="s">
        <v>206</v>
      </c>
      <c r="D23" s="13" t="s">
        <v>207</v>
      </c>
      <c r="E23" s="13"/>
      <c r="G23" s="200"/>
      <c r="H23" s="249"/>
      <c r="I23" s="253"/>
      <c r="J23" s="254"/>
      <c r="K23" s="254"/>
      <c r="L23" s="254"/>
      <c r="M23" s="255"/>
    </row>
    <row r="24" spans="1:13" x14ac:dyDescent="0.3">
      <c r="A24" s="248"/>
      <c r="B24" s="248"/>
      <c r="C24" s="13" t="s">
        <v>208</v>
      </c>
      <c r="D24" s="13" t="s">
        <v>209</v>
      </c>
      <c r="E24" s="13"/>
      <c r="G24" s="200"/>
      <c r="H24" s="249"/>
      <c r="I24" s="253"/>
      <c r="J24" s="254"/>
      <c r="K24" s="254"/>
      <c r="L24" s="254"/>
      <c r="M24" s="255"/>
    </row>
    <row r="25" spans="1:13" x14ac:dyDescent="0.3">
      <c r="D25" s="13" t="s">
        <v>210</v>
      </c>
      <c r="E25" s="48"/>
      <c r="G25" s="200"/>
      <c r="H25" s="249"/>
      <c r="I25" s="256"/>
      <c r="J25" s="257"/>
      <c r="K25" s="257"/>
      <c r="L25" s="257"/>
      <c r="M25" s="258"/>
    </row>
    <row r="27" spans="1:13" x14ac:dyDescent="0.3">
      <c r="A27" s="259" t="s">
        <v>211</v>
      </c>
      <c r="B27" s="259"/>
      <c r="D27" s="200" t="s">
        <v>198</v>
      </c>
      <c r="E27" s="200"/>
      <c r="G27" s="200" t="s">
        <v>199</v>
      </c>
      <c r="H27" s="200"/>
      <c r="I27" s="250" t="s">
        <v>212</v>
      </c>
      <c r="J27" s="251"/>
      <c r="K27" s="252"/>
    </row>
    <row r="28" spans="1:13" x14ac:dyDescent="0.3">
      <c r="A28" s="259"/>
      <c r="B28" s="259"/>
      <c r="C28" s="13" t="s">
        <v>200</v>
      </c>
      <c r="D28" s="13" t="s">
        <v>213</v>
      </c>
      <c r="E28" s="13"/>
      <c r="G28" s="200" t="s">
        <v>214</v>
      </c>
      <c r="H28" s="200"/>
      <c r="I28" s="253"/>
      <c r="J28" s="254"/>
      <c r="K28" s="255"/>
    </row>
    <row r="29" spans="1:13" x14ac:dyDescent="0.3">
      <c r="A29" s="259"/>
      <c r="B29" s="259"/>
      <c r="C29" s="13" t="s">
        <v>204</v>
      </c>
      <c r="D29" s="13" t="s">
        <v>207</v>
      </c>
      <c r="E29" s="13"/>
      <c r="G29" s="200"/>
      <c r="H29" s="200"/>
      <c r="I29" s="253"/>
      <c r="J29" s="254"/>
      <c r="K29" s="255"/>
    </row>
    <row r="30" spans="1:13" x14ac:dyDescent="0.3">
      <c r="A30" s="259"/>
      <c r="B30" s="259"/>
      <c r="C30" s="13" t="s">
        <v>206</v>
      </c>
      <c r="D30" s="13" t="s">
        <v>209</v>
      </c>
      <c r="E30" s="13"/>
      <c r="G30" s="200"/>
      <c r="H30" s="200"/>
      <c r="I30" s="253"/>
      <c r="J30" s="254"/>
      <c r="K30" s="255"/>
    </row>
    <row r="31" spans="1:13" x14ac:dyDescent="0.3">
      <c r="D31" s="13" t="s">
        <v>210</v>
      </c>
      <c r="E31" s="13"/>
      <c r="G31" s="200"/>
      <c r="H31" s="200"/>
      <c r="I31" s="256"/>
      <c r="J31" s="257"/>
      <c r="K31" s="258"/>
    </row>
    <row r="34" spans="1:13" x14ac:dyDescent="0.3">
      <c r="A34" t="s">
        <v>215</v>
      </c>
    </row>
    <row r="36" spans="1:13" x14ac:dyDescent="0.3">
      <c r="A36" s="248" t="s">
        <v>216</v>
      </c>
      <c r="B36" s="248"/>
      <c r="D36" s="200" t="s">
        <v>198</v>
      </c>
      <c r="E36" s="200"/>
      <c r="G36" s="200" t="s">
        <v>199</v>
      </c>
      <c r="H36" s="200"/>
      <c r="I36" s="260" t="s">
        <v>217</v>
      </c>
      <c r="J36" s="199"/>
      <c r="K36" s="199"/>
      <c r="L36" s="199"/>
      <c r="M36" s="199"/>
    </row>
    <row r="37" spans="1:13" ht="16.5" customHeight="1" x14ac:dyDescent="0.3">
      <c r="A37" s="248"/>
      <c r="B37" s="248"/>
      <c r="C37" s="13" t="s">
        <v>200</v>
      </c>
      <c r="D37" s="13" t="s">
        <v>201</v>
      </c>
      <c r="E37" s="13">
        <v>6</v>
      </c>
      <c r="G37" s="200" t="s">
        <v>202</v>
      </c>
      <c r="H37" s="200">
        <v>100</v>
      </c>
      <c r="I37" s="260"/>
      <c r="J37" s="199"/>
      <c r="K37" s="199"/>
      <c r="L37" s="199"/>
      <c r="M37" s="199"/>
    </row>
    <row r="38" spans="1:13" x14ac:dyDescent="0.3">
      <c r="A38" s="248"/>
      <c r="B38" s="248"/>
      <c r="C38" s="13" t="s">
        <v>204</v>
      </c>
      <c r="D38" s="13" t="s">
        <v>205</v>
      </c>
      <c r="E38" s="13">
        <v>2</v>
      </c>
      <c r="G38" s="200"/>
      <c r="H38" s="200"/>
      <c r="I38" s="260"/>
      <c r="J38" s="199"/>
      <c r="K38" s="199"/>
      <c r="L38" s="199"/>
      <c r="M38" s="199"/>
    </row>
    <row r="39" spans="1:13" x14ac:dyDescent="0.3">
      <c r="A39" s="248"/>
      <c r="B39" s="248"/>
      <c r="C39" s="13" t="s">
        <v>206</v>
      </c>
      <c r="D39" s="13" t="s">
        <v>207</v>
      </c>
      <c r="E39" s="13">
        <v>1</v>
      </c>
      <c r="G39" s="200"/>
      <c r="H39" s="200"/>
      <c r="I39" s="260"/>
      <c r="J39" s="199"/>
      <c r="K39" s="199"/>
      <c r="L39" s="199"/>
      <c r="M39" s="199"/>
    </row>
    <row r="40" spans="1:13" x14ac:dyDescent="0.3">
      <c r="A40" s="248"/>
      <c r="B40" s="248"/>
      <c r="C40" s="13" t="s">
        <v>208</v>
      </c>
      <c r="D40" s="13" t="s">
        <v>209</v>
      </c>
      <c r="E40" s="13">
        <v>1</v>
      </c>
      <c r="G40" s="200"/>
      <c r="H40" s="200"/>
      <c r="I40" s="260"/>
      <c r="J40" s="199"/>
      <c r="K40" s="199"/>
      <c r="L40" s="199"/>
      <c r="M40" s="199"/>
    </row>
    <row r="41" spans="1:13" x14ac:dyDescent="0.3">
      <c r="D41" s="13" t="s">
        <v>210</v>
      </c>
      <c r="E41" s="48">
        <f>SUM(E37:E40)</f>
        <v>10</v>
      </c>
      <c r="G41" s="200"/>
      <c r="H41" s="200"/>
      <c r="I41" s="260"/>
      <c r="J41" s="199"/>
      <c r="K41" s="199"/>
      <c r="L41" s="199"/>
      <c r="M41" s="199"/>
    </row>
    <row r="43" spans="1:13" x14ac:dyDescent="0.3">
      <c r="A43" s="259" t="s">
        <v>218</v>
      </c>
      <c r="B43" s="259"/>
      <c r="D43" s="200" t="s">
        <v>198</v>
      </c>
      <c r="E43" s="200"/>
      <c r="G43" s="200" t="s">
        <v>199</v>
      </c>
      <c r="H43" s="200"/>
      <c r="I43" s="261" t="s">
        <v>219</v>
      </c>
      <c r="J43" s="262"/>
      <c r="K43" s="263"/>
    </row>
    <row r="44" spans="1:13" x14ac:dyDescent="0.3">
      <c r="A44" s="259"/>
      <c r="B44" s="259"/>
      <c r="C44" s="13" t="s">
        <v>200</v>
      </c>
      <c r="D44" s="13" t="s">
        <v>213</v>
      </c>
      <c r="E44" s="13">
        <v>8</v>
      </c>
      <c r="G44" s="200" t="s">
        <v>202</v>
      </c>
      <c r="H44" s="200">
        <v>100</v>
      </c>
      <c r="I44" s="264"/>
      <c r="J44" s="182"/>
      <c r="K44" s="265"/>
    </row>
    <row r="45" spans="1:13" x14ac:dyDescent="0.3">
      <c r="A45" s="259"/>
      <c r="B45" s="259"/>
      <c r="C45" s="13" t="s">
        <v>204</v>
      </c>
      <c r="D45" s="13" t="s">
        <v>207</v>
      </c>
      <c r="E45" s="13">
        <v>2</v>
      </c>
      <c r="G45" s="200"/>
      <c r="H45" s="200"/>
      <c r="I45" s="264"/>
      <c r="J45" s="182"/>
      <c r="K45" s="265"/>
    </row>
    <row r="46" spans="1:13" x14ac:dyDescent="0.3">
      <c r="A46" s="259"/>
      <c r="B46" s="259"/>
      <c r="C46" s="13" t="s">
        <v>206</v>
      </c>
      <c r="D46" s="13" t="s">
        <v>209</v>
      </c>
      <c r="E46" s="13">
        <v>1</v>
      </c>
      <c r="G46" s="200"/>
      <c r="H46" s="200"/>
      <c r="I46" s="264"/>
      <c r="J46" s="182"/>
      <c r="K46" s="265"/>
    </row>
    <row r="47" spans="1:13" x14ac:dyDescent="0.3">
      <c r="D47" s="13" t="s">
        <v>210</v>
      </c>
      <c r="E47" s="13">
        <f>SUM(E44:E46)</f>
        <v>11</v>
      </c>
      <c r="G47" s="200"/>
      <c r="H47" s="200"/>
      <c r="I47" s="266"/>
      <c r="J47" s="267"/>
      <c r="K47" s="268"/>
    </row>
  </sheetData>
  <mergeCells count="37">
    <mergeCell ref="A43:B46"/>
    <mergeCell ref="D43:E43"/>
    <mergeCell ref="G43:H43"/>
    <mergeCell ref="I43:K47"/>
    <mergeCell ref="G44:G47"/>
    <mergeCell ref="H44:H47"/>
    <mergeCell ref="A36:B40"/>
    <mergeCell ref="D36:E36"/>
    <mergeCell ref="G36:H36"/>
    <mergeCell ref="I36:M41"/>
    <mergeCell ref="G37:G41"/>
    <mergeCell ref="H37:H41"/>
    <mergeCell ref="G20:H20"/>
    <mergeCell ref="G21:G25"/>
    <mergeCell ref="H21:H25"/>
    <mergeCell ref="I21:M25"/>
    <mergeCell ref="A27:B30"/>
    <mergeCell ref="D27:E27"/>
    <mergeCell ref="G27:H27"/>
    <mergeCell ref="I27:K31"/>
    <mergeCell ref="G28:G31"/>
    <mergeCell ref="H28:H31"/>
    <mergeCell ref="A16:A17"/>
    <mergeCell ref="B16:B17"/>
    <mergeCell ref="C16:C17"/>
    <mergeCell ref="D16:D17"/>
    <mergeCell ref="A20:B24"/>
    <mergeCell ref="D20:E20"/>
    <mergeCell ref="A14:A15"/>
    <mergeCell ref="B14:B15"/>
    <mergeCell ref="C14:C15"/>
    <mergeCell ref="D14:D15"/>
    <mergeCell ref="A1:F2"/>
    <mergeCell ref="A11:A13"/>
    <mergeCell ref="B12:B13"/>
    <mergeCell ref="C12:C13"/>
    <mergeCell ref="D12:D13"/>
  </mergeCells>
  <phoneticPr fontId="1" type="noConversion"/>
  <pageMargins left="0" right="0" top="0" bottom="0" header="0" footer="0"/>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Sheet1</vt:lpstr>
      <vt:lpstr>레벨 예약 단계 수량(수정)</vt:lpstr>
      <vt:lpstr>루페이 시간표</vt:lpstr>
      <vt:lpstr>분할 및 교환 포인드</vt:lpstr>
      <vt:lpstr>패널티</vt:lpstr>
      <vt:lpstr>포인트 사용 설명</vt:lpstr>
      <vt:lpstr>결합판매</vt:lpstr>
      <vt:lpstr>관리자 모드</vt:lpstr>
      <vt:lpstr>매칭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순규 이</cp:lastModifiedBy>
  <dcterms:created xsi:type="dcterms:W3CDTF">2026-04-19T07:07:12Z</dcterms:created>
  <dcterms:modified xsi:type="dcterms:W3CDTF">2026-05-04T01:14:01Z</dcterms:modified>
</cp:coreProperties>
</file>